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vl4di\OneDrive - BUas\BUAS\intern\"/>
    </mc:Choice>
  </mc:AlternateContent>
  <bookViews>
    <workbookView xWindow="0" yWindow="0" windowWidth="28800" windowHeight="11130"/>
  </bookViews>
  <sheets>
    <sheet name="Worklog_Tasks&amp;Times" sheetId="1" r:id="rId1"/>
    <sheet name="Overview" sheetId="2" r:id="rId2"/>
    <sheet name="Drop-downs" sheetId="3" r:id="rId3"/>
  </sheets>
  <definedNames>
    <definedName name="_xlnm._FilterDatabase" localSheetId="0" hidden="1">'Worklog_Tasks&amp;Times'!$A$1:$J$27</definedName>
    <definedName name="_xlnm.Print_Area" localSheetId="0">'Worklog_Tasks&amp;Times'!$A$1:$J$451</definedName>
    <definedName name="Z_8BAC9A6B_5D32_4E8D_967D_E17D357516F8_.wvu.FilterData" localSheetId="0" hidden="1">'Worklog_Tasks&amp;Times'!$A$1:$J$27</definedName>
  </definedNames>
  <calcPr calcId="162913"/>
  <customWorkbookViews>
    <customWorkbookView name="TODO" guid="{8BAC9A6B-5D32-4E8D-967D-E17D357516F8}"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12" i="1" l="1"/>
  <c r="H449" i="1" l="1"/>
  <c r="G449" i="1"/>
  <c r="I441" i="1"/>
  <c r="I440" i="1"/>
  <c r="I439" i="1"/>
  <c r="I438" i="1"/>
  <c r="I437" i="1"/>
  <c r="I436" i="1"/>
  <c r="I435" i="1"/>
  <c r="H349" i="1"/>
  <c r="G349" i="1"/>
  <c r="I343" i="1"/>
  <c r="I342" i="1"/>
  <c r="I341" i="1"/>
  <c r="H307" i="1"/>
  <c r="I306" i="1"/>
  <c r="G307" i="1"/>
  <c r="I305" i="1"/>
  <c r="I304" i="1"/>
  <c r="I303" i="1"/>
  <c r="I302" i="1"/>
  <c r="I301" i="1"/>
  <c r="I300" i="1"/>
  <c r="I290" i="1"/>
  <c r="I284" i="1"/>
  <c r="I283" i="1"/>
  <c r="I282" i="1"/>
  <c r="I281" i="1"/>
  <c r="I280" i="1"/>
  <c r="I279" i="1"/>
  <c r="I278" i="1"/>
  <c r="I277" i="1"/>
  <c r="H264" i="1"/>
  <c r="I263" i="1"/>
  <c r="G264" i="1"/>
  <c r="I262" i="1"/>
  <c r="I261" i="1"/>
  <c r="I260" i="1"/>
  <c r="I259" i="1"/>
  <c r="I237" i="1"/>
  <c r="I236" i="1"/>
  <c r="I235" i="1"/>
  <c r="H242" i="1"/>
  <c r="G242" i="1"/>
  <c r="H216" i="1"/>
  <c r="I215" i="1"/>
  <c r="G216" i="1"/>
  <c r="I214" i="1"/>
  <c r="I213" i="1"/>
  <c r="I212" i="1"/>
  <c r="I211" i="1"/>
  <c r="I210" i="1"/>
  <c r="I209" i="1"/>
  <c r="I208" i="1"/>
  <c r="H173" i="1" l="1"/>
  <c r="I172" i="1"/>
  <c r="G173" i="1"/>
  <c r="I171" i="1"/>
  <c r="I170" i="1"/>
  <c r="I169" i="1"/>
  <c r="I168" i="1"/>
  <c r="I167" i="1"/>
  <c r="I165" i="1"/>
  <c r="I164" i="1"/>
  <c r="H151" i="1"/>
  <c r="I150" i="1"/>
  <c r="G151" i="1"/>
  <c r="I149" i="1"/>
  <c r="I148" i="1"/>
  <c r="I147" i="1"/>
  <c r="I146" i="1"/>
  <c r="I144" i="1"/>
  <c r="I143" i="1"/>
  <c r="I142" i="1"/>
  <c r="I141" i="1"/>
  <c r="H128" i="1" l="1"/>
  <c r="I127" i="1"/>
  <c r="G128" i="1"/>
  <c r="I126" i="1"/>
  <c r="I125" i="1"/>
  <c r="I124" i="1"/>
  <c r="I123" i="1"/>
  <c r="I122" i="1"/>
  <c r="I121" i="1"/>
  <c r="I120" i="1"/>
  <c r="I119" i="1"/>
  <c r="H422" i="1" l="1"/>
  <c r="I421" i="1"/>
  <c r="G422" i="1"/>
  <c r="I420" i="1"/>
  <c r="I419" i="1"/>
  <c r="I418" i="1"/>
  <c r="I417" i="1"/>
  <c r="I416" i="1"/>
  <c r="I415" i="1"/>
  <c r="I414" i="1"/>
  <c r="H385" i="1" l="1"/>
  <c r="G385" i="1"/>
  <c r="I384" i="1"/>
  <c r="I376" i="1" l="1"/>
  <c r="H370" i="1"/>
  <c r="I369" i="1"/>
  <c r="G370" i="1"/>
  <c r="I368" i="1"/>
  <c r="I367" i="1"/>
  <c r="I365" i="1"/>
  <c r="I366" i="1"/>
  <c r="I364" i="1"/>
  <c r="I359" i="1"/>
  <c r="I234" i="1" l="1"/>
  <c r="I233" i="1"/>
  <c r="I232" i="1"/>
  <c r="I230" i="1" l="1"/>
  <c r="H105" i="1"/>
  <c r="I104" i="1"/>
  <c r="G105" i="1"/>
  <c r="G451" i="1" s="1"/>
  <c r="I103" i="1"/>
  <c r="I102" i="1"/>
  <c r="I101" i="1"/>
  <c r="I100" i="1"/>
  <c r="I99" i="1"/>
  <c r="I98" i="1"/>
  <c r="I97" i="1"/>
  <c r="I96" i="1"/>
  <c r="I95" i="1"/>
  <c r="I94" i="1"/>
  <c r="I93" i="1"/>
  <c r="I92" i="1"/>
  <c r="H78" i="1" l="1"/>
  <c r="I77" i="1"/>
  <c r="G78" i="1"/>
  <c r="I76" i="1"/>
  <c r="I75" i="1"/>
  <c r="I74" i="1"/>
  <c r="I73" i="1"/>
  <c r="I72" i="1"/>
  <c r="I71" i="1"/>
  <c r="I70" i="1"/>
  <c r="I69" i="1"/>
  <c r="I68" i="1"/>
  <c r="I67" i="1"/>
  <c r="G53" i="1" l="1"/>
  <c r="H53" i="1"/>
  <c r="I52" i="1"/>
  <c r="I51" i="1"/>
  <c r="I50" i="1"/>
  <c r="I49" i="1"/>
  <c r="I48" i="1"/>
  <c r="I47" i="1"/>
  <c r="I46" i="1"/>
  <c r="I45" i="1"/>
  <c r="I44" i="1"/>
  <c r="I43" i="1"/>
  <c r="I42" i="1"/>
  <c r="I41" i="1"/>
  <c r="H27" i="1"/>
  <c r="G27" i="1"/>
  <c r="I17" i="1"/>
  <c r="I16" i="1"/>
  <c r="I15" i="1"/>
  <c r="I448" i="1" l="1"/>
  <c r="I434" i="1"/>
  <c r="I433" i="1"/>
  <c r="I432" i="1"/>
  <c r="I431" i="1"/>
  <c r="I430" i="1"/>
  <c r="I429" i="1"/>
  <c r="I428" i="1"/>
  <c r="I427" i="1"/>
  <c r="I426" i="1"/>
  <c r="I413" i="1"/>
  <c r="I411" i="1"/>
  <c r="I410" i="1"/>
  <c r="I409" i="1"/>
  <c r="I408" i="1"/>
  <c r="I407" i="1"/>
  <c r="I406" i="1"/>
  <c r="I405" i="1"/>
  <c r="I404" i="1"/>
  <c r="I403" i="1"/>
  <c r="H399" i="1"/>
  <c r="G399" i="1"/>
  <c r="I398" i="1"/>
  <c r="I397" i="1"/>
  <c r="I396" i="1"/>
  <c r="I395" i="1"/>
  <c r="I394" i="1"/>
  <c r="I393" i="1"/>
  <c r="I392" i="1"/>
  <c r="I391" i="1"/>
  <c r="I390" i="1"/>
  <c r="I389" i="1"/>
  <c r="I383" i="1"/>
  <c r="I382" i="1"/>
  <c r="I381" i="1"/>
  <c r="I380" i="1"/>
  <c r="I379" i="1"/>
  <c r="I378" i="1"/>
  <c r="I377" i="1"/>
  <c r="I375" i="1"/>
  <c r="I374" i="1"/>
  <c r="I363" i="1"/>
  <c r="I362" i="1"/>
  <c r="I361" i="1"/>
  <c r="I360" i="1"/>
  <c r="I358" i="1"/>
  <c r="I357" i="1"/>
  <c r="I356" i="1"/>
  <c r="I355" i="1"/>
  <c r="I354" i="1"/>
  <c r="I353" i="1"/>
  <c r="I347" i="1"/>
  <c r="I340" i="1"/>
  <c r="I339" i="1"/>
  <c r="I338" i="1"/>
  <c r="I337" i="1"/>
  <c r="I336" i="1"/>
  <c r="I335" i="1"/>
  <c r="I334" i="1"/>
  <c r="I333" i="1"/>
  <c r="I332" i="1"/>
  <c r="H328" i="1"/>
  <c r="G328" i="1"/>
  <c r="I327" i="1"/>
  <c r="I326" i="1"/>
  <c r="I325" i="1"/>
  <c r="I324" i="1"/>
  <c r="I323" i="1"/>
  <c r="I312" i="1"/>
  <c r="I311" i="1"/>
  <c r="I299" i="1"/>
  <c r="I298" i="1"/>
  <c r="I297" i="1"/>
  <c r="I296" i="1"/>
  <c r="I295" i="1"/>
  <c r="I294" i="1"/>
  <c r="I293" i="1"/>
  <c r="I292" i="1"/>
  <c r="I291" i="1"/>
  <c r="H286" i="1"/>
  <c r="G286" i="1"/>
  <c r="I285" i="1"/>
  <c r="I276" i="1"/>
  <c r="I275" i="1"/>
  <c r="I274" i="1"/>
  <c r="I273" i="1"/>
  <c r="I272" i="1"/>
  <c r="I271" i="1"/>
  <c r="I270" i="1"/>
  <c r="I269" i="1"/>
  <c r="I268" i="1"/>
  <c r="I258" i="1"/>
  <c r="I257" i="1"/>
  <c r="I256" i="1"/>
  <c r="I255" i="1"/>
  <c r="I254" i="1"/>
  <c r="I253" i="1"/>
  <c r="I251" i="1"/>
  <c r="I248" i="1"/>
  <c r="I247" i="1"/>
  <c r="I246" i="1"/>
  <c r="I231" i="1"/>
  <c r="I229" i="1"/>
  <c r="I228" i="1"/>
  <c r="I227" i="1"/>
  <c r="I226" i="1"/>
  <c r="I225" i="1"/>
  <c r="I224" i="1"/>
  <c r="I223" i="1"/>
  <c r="I221" i="1"/>
  <c r="I220" i="1"/>
  <c r="I207" i="1"/>
  <c r="I206" i="1"/>
  <c r="I205" i="1"/>
  <c r="I204" i="1"/>
  <c r="I203" i="1"/>
  <c r="I202" i="1"/>
  <c r="I201" i="1"/>
  <c r="I200" i="1"/>
  <c r="I199" i="1"/>
  <c r="I198" i="1"/>
  <c r="K10" i="2"/>
  <c r="K11" i="2"/>
  <c r="D12" i="2"/>
  <c r="E12" i="2"/>
  <c r="F12" i="2"/>
  <c r="G12" i="2"/>
  <c r="H12" i="2"/>
  <c r="I12" i="2"/>
  <c r="J12" i="2"/>
  <c r="B11" i="2"/>
  <c r="B10" i="2"/>
  <c r="B9" i="2"/>
  <c r="B8" i="2"/>
  <c r="K8" i="2"/>
  <c r="K9" i="2"/>
  <c r="K7" i="2"/>
  <c r="B7" i="2"/>
  <c r="K6" i="2"/>
  <c r="B6" i="2"/>
  <c r="K5" i="2"/>
  <c r="B5" i="2"/>
  <c r="B4" i="2"/>
  <c r="K3" i="2"/>
  <c r="B3" i="2"/>
  <c r="H194" i="1"/>
  <c r="G194" i="1"/>
  <c r="I185" i="1"/>
  <c r="I184" i="1"/>
  <c r="I183" i="1"/>
  <c r="I182" i="1"/>
  <c r="I181" i="1"/>
  <c r="I180" i="1"/>
  <c r="I179" i="1"/>
  <c r="I178" i="1"/>
  <c r="I177" i="1"/>
  <c r="I166" i="1"/>
  <c r="I163" i="1"/>
  <c r="I162" i="1"/>
  <c r="I161" i="1"/>
  <c r="I160" i="1"/>
  <c r="I159" i="1"/>
  <c r="I158" i="1"/>
  <c r="I157" i="1"/>
  <c r="I156" i="1"/>
  <c r="I155" i="1"/>
  <c r="I145" i="1"/>
  <c r="I140" i="1"/>
  <c r="I139" i="1"/>
  <c r="I138" i="1"/>
  <c r="I137" i="1"/>
  <c r="I136" i="1"/>
  <c r="I135" i="1"/>
  <c r="I134" i="1"/>
  <c r="I133" i="1"/>
  <c r="I132" i="1"/>
  <c r="I118" i="1"/>
  <c r="I117" i="1"/>
  <c r="I116" i="1"/>
  <c r="I115" i="1"/>
  <c r="I114" i="1"/>
  <c r="I113" i="1"/>
  <c r="I112" i="1"/>
  <c r="I111" i="1"/>
  <c r="I110" i="1"/>
  <c r="I109" i="1"/>
  <c r="I91" i="1"/>
  <c r="I90" i="1"/>
  <c r="I89" i="1"/>
  <c r="I88" i="1"/>
  <c r="I87" i="1"/>
  <c r="I86" i="1"/>
  <c r="I85" i="1"/>
  <c r="I84" i="1"/>
  <c r="I83" i="1"/>
  <c r="I82" i="1"/>
  <c r="I66" i="1"/>
  <c r="I65" i="1"/>
  <c r="I64" i="1"/>
  <c r="I63" i="1"/>
  <c r="I62" i="1"/>
  <c r="I61" i="1"/>
  <c r="I60" i="1"/>
  <c r="I59" i="1"/>
  <c r="I58" i="1"/>
  <c r="I57" i="1"/>
  <c r="I40" i="1"/>
  <c r="I39" i="1"/>
  <c r="I38" i="1"/>
  <c r="I37" i="1"/>
  <c r="I36" i="1"/>
  <c r="I35" i="1"/>
  <c r="I34" i="1"/>
  <c r="I33" i="1"/>
  <c r="I32" i="1"/>
  <c r="I31" i="1"/>
  <c r="I14" i="1"/>
  <c r="I13" i="1"/>
  <c r="I12" i="1"/>
  <c r="I11" i="1"/>
  <c r="I10" i="1"/>
  <c r="I9" i="1"/>
  <c r="I8" i="1"/>
  <c r="I7" i="1"/>
  <c r="I6" i="1"/>
  <c r="I5" i="1"/>
  <c r="C4" i="2"/>
  <c r="I307" i="1" l="1"/>
  <c r="I128" i="1"/>
  <c r="C12" i="2"/>
  <c r="H451" i="1"/>
  <c r="I151" i="1"/>
  <c r="I370" i="1"/>
  <c r="I53" i="1"/>
  <c r="I449" i="1"/>
  <c r="I194" i="1"/>
  <c r="I78" i="1"/>
  <c r="I173" i="1"/>
  <c r="I349" i="1"/>
  <c r="I216" i="1"/>
  <c r="I264" i="1"/>
  <c r="I385" i="1"/>
  <c r="I422" i="1"/>
  <c r="I105" i="1"/>
  <c r="I399" i="1"/>
  <c r="I328" i="1"/>
  <c r="I242" i="1"/>
  <c r="I286" i="1"/>
  <c r="I27" i="1"/>
  <c r="K4" i="2"/>
  <c r="I451" i="1" l="1"/>
</calcChain>
</file>

<file path=xl/sharedStrings.xml><?xml version="1.0" encoding="utf-8"?>
<sst xmlns="http://schemas.openxmlformats.org/spreadsheetml/2006/main" count="2189" uniqueCount="352">
  <si>
    <t>Date</t>
  </si>
  <si>
    <t>Status</t>
  </si>
  <si>
    <t>Task</t>
  </si>
  <si>
    <t>Description/Planning</t>
  </si>
  <si>
    <t>Task Type</t>
  </si>
  <si>
    <t>Most suited ILO</t>
  </si>
  <si>
    <t>Est Hours</t>
  </si>
  <si>
    <t>Actual Hours</t>
  </si>
  <si>
    <t>Diff</t>
  </si>
  <si>
    <t>Task reflection / notes</t>
  </si>
  <si>
    <t>Week 1</t>
  </si>
  <si>
    <t>week plan:</t>
  </si>
  <si>
    <t>- Weekplan item 1
- Weekplan item 2
- Weekplan item 3
- etc</t>
  </si>
  <si>
    <t>Known Risks</t>
  </si>
  <si>
    <t>[Enter known possible issues that are a risk for you to finish the high level week planning]</t>
  </si>
  <si>
    <t>Max 4 hours tasks</t>
  </si>
  <si>
    <t>Total Hours</t>
  </si>
  <si>
    <t>Week 2</t>
  </si>
  <si>
    <t>[Enter known possible issues that are a risk for you to finish the high level week planning] - if any</t>
  </si>
  <si>
    <t>Week 3</t>
  </si>
  <si>
    <t xml:space="preserve">Week 4 </t>
  </si>
  <si>
    <t xml:space="preserve">Week 5 </t>
  </si>
  <si>
    <t xml:space="preserve">Week 6 </t>
  </si>
  <si>
    <t>Week 7</t>
  </si>
  <si>
    <t xml:space="preserve">Week 8 </t>
  </si>
  <si>
    <t>Total hours this block</t>
  </si>
  <si>
    <t>Learning Objective</t>
  </si>
  <si>
    <t>W1</t>
  </si>
  <si>
    <t>W2</t>
  </si>
  <si>
    <t>W3</t>
  </si>
  <si>
    <t>W4</t>
  </si>
  <si>
    <t>W5</t>
  </si>
  <si>
    <t>W6</t>
  </si>
  <si>
    <t>W7</t>
  </si>
  <si>
    <t>W8</t>
  </si>
  <si>
    <t xml:space="preserve">Total Hours for objective </t>
  </si>
  <si>
    <t>TOTAL HOURS PER WEEK</t>
  </si>
  <si>
    <t>Use this to plan a high level allocation for all 320 hours you are expected to devote to the course during this block. How do you want to allocate your hours for each week?
Why 320 hours? The European Higher Education Framework states that an academic credit is expected to require 25-28 hours to earn.
You earn 15 credits per block, so you should be expected to devote 375 hours to accomplish that. 
CMGT students do fewer hours because the program is more intense.</t>
  </si>
  <si>
    <r>
      <rPr>
        <i/>
        <sz val="10"/>
        <rFont val="Arial"/>
        <family val="2"/>
      </rPr>
      <t xml:space="preserve">Use a formula like this to get your data from Worklog sheet : </t>
    </r>
    <r>
      <rPr>
        <sz val="10"/>
        <color rgb="FF000000"/>
        <rFont val="Arial"/>
        <family val="2"/>
      </rPr>
      <t xml:space="preserve">
=IFERROR(SUM(FILTER('Worklog_Tasks&amp;Times'!$H$5:$H$14,'Worklog_Tasks&amp;Times'!$F$5:$F$14=$B4)),0)</t>
    </r>
  </si>
  <si>
    <t>Task Status</t>
  </si>
  <si>
    <t>ILO selection</t>
  </si>
  <si>
    <t>-</t>
  </si>
  <si>
    <t>Planned</t>
  </si>
  <si>
    <t>Design</t>
  </si>
  <si>
    <t>Unplanned</t>
  </si>
  <si>
    <t>Meeting</t>
  </si>
  <si>
    <t>Blocked</t>
  </si>
  <si>
    <t>Programming</t>
  </si>
  <si>
    <t>In-Progress</t>
  </si>
  <si>
    <t>Research</t>
  </si>
  <si>
    <t>Done</t>
  </si>
  <si>
    <t>Testing</t>
  </si>
  <si>
    <t>Delayed</t>
  </si>
  <si>
    <t>Workshop</t>
  </si>
  <si>
    <t>Cancelled</t>
  </si>
  <si>
    <t>Planning</t>
  </si>
  <si>
    <t>Evidencing</t>
  </si>
  <si>
    <t>Debugging</t>
  </si>
  <si>
    <t>Lecture</t>
  </si>
  <si>
    <t>Study</t>
  </si>
  <si>
    <t>Distraction</t>
  </si>
  <si>
    <t>Break</t>
  </si>
  <si>
    <t>Week 9</t>
  </si>
  <si>
    <t>Week 10</t>
  </si>
  <si>
    <t>Week 11</t>
  </si>
  <si>
    <t>Week 12</t>
  </si>
  <si>
    <t>Week 13</t>
  </si>
  <si>
    <t>Week 14</t>
  </si>
  <si>
    <t>Week 15</t>
  </si>
  <si>
    <t>Week 16</t>
  </si>
  <si>
    <t>A1</t>
  </si>
  <si>
    <t>A2</t>
  </si>
  <si>
    <t>A3</t>
  </si>
  <si>
    <t>B4</t>
  </si>
  <si>
    <t>B5</t>
  </si>
  <si>
    <t>B6</t>
  </si>
  <si>
    <t>C7</t>
  </si>
  <si>
    <t>C8</t>
  </si>
  <si>
    <t>C9</t>
  </si>
  <si>
    <t>Week 20</t>
  </si>
  <si>
    <t>Week 19</t>
  </si>
  <si>
    <t>Week 18</t>
  </si>
  <si>
    <t>Week 17</t>
  </si>
  <si>
    <t>Meetup with the company supervisor and colleagues in the office</t>
  </si>
  <si>
    <t>Presentation on introduction to Move Group company</t>
  </si>
  <si>
    <t>Lunch break</t>
  </si>
  <si>
    <t>Presentation on how the business operates</t>
  </si>
  <si>
    <t>Introduction to Ixolution</t>
  </si>
  <si>
    <t>Follow the introduction course in Move Academy</t>
  </si>
  <si>
    <t>Move Academy - platform for inside education of the Move Group members</t>
  </si>
  <si>
    <t>Ixolution is the TMS system Move Intremodal uses for their transport management</t>
  </si>
  <si>
    <t>Watchin the Introduction course in Move Academy</t>
  </si>
  <si>
    <t>Learning on the operations in Ixolutions and what data it contains</t>
  </si>
  <si>
    <t>Introduction to Transpas</t>
  </si>
  <si>
    <t>Transpas - TMS system that Van Dijk uses for its transport management</t>
  </si>
  <si>
    <t>Introduction to Transpas and comparison to Ixolution</t>
  </si>
  <si>
    <t>Introduction to Matillion</t>
  </si>
  <si>
    <t>Study on Matillion basics (jobs, transformation, orchestraction)</t>
  </si>
  <si>
    <t>Snowlfake basics</t>
  </si>
  <si>
    <t>Compare example tables between Transpas and Ixolution</t>
  </si>
  <si>
    <t>Intro to schemas, SQL, queries</t>
  </si>
  <si>
    <t>Learn the concept of Incremential loadig in Matillion</t>
  </si>
  <si>
    <t>learn about the timestamps, keys, and etc.</t>
  </si>
  <si>
    <t>Experiment with building a jobs in Matillion</t>
  </si>
  <si>
    <t xml:space="preserve">Explore the business keys and logic behind sats and hubs </t>
  </si>
  <si>
    <t>Create one link and lsat link between two tables</t>
  </si>
  <si>
    <t>Check the tables in Snowflake</t>
  </si>
  <si>
    <t xml:space="preserve">Create links between tables </t>
  </si>
  <si>
    <t>Create a complete view in matilion out of links between tables</t>
  </si>
  <si>
    <t>Check the tables in the database in Snowflake and try to find link between some of them.</t>
  </si>
  <si>
    <t>Finalize a view in Matillion</t>
  </si>
  <si>
    <t>The view is made out of connections made between a lot of tables.</t>
  </si>
  <si>
    <t>Working on Rit view in Matillion</t>
  </si>
  <si>
    <t>Exploring the tables in the Database</t>
  </si>
  <si>
    <t>Explore the KPIs of currecnt Van Dijk reports</t>
  </si>
  <si>
    <t>Meeting with the director of Van Dijk to explore the current manual reports and the KPIs</t>
  </si>
  <si>
    <t>Excellence center IT meeting</t>
  </si>
  <si>
    <t>Creating links between tables</t>
  </si>
  <si>
    <t>Check the tables in the database in Snowflake and link the relevant ones</t>
  </si>
  <si>
    <t>Sit next to a truck planner</t>
  </si>
  <si>
    <t>I sat with a truck planner to see how the process of receiving an order to finalizing it is done and what data they use in</t>
  </si>
  <si>
    <t>Check the tables in the database in Snowflake and find a relation between them</t>
  </si>
  <si>
    <t>Linking some of the relevant tables using LNK and LSAT LNK links</t>
  </si>
  <si>
    <t>Half-day with a truck driver</t>
  </si>
  <si>
    <t>went on a half-day with a truck driver to deliver/pick some orders to see the process from the other side</t>
  </si>
  <si>
    <t>Finalize the first complete view in Matillion</t>
  </si>
  <si>
    <t>Finalized the first view related to the Rits (Transport Actions) in Matillion</t>
  </si>
  <si>
    <t>Working on Linking the tables in Matillion</t>
  </si>
  <si>
    <t>Exploring the tables in the Snowflake</t>
  </si>
  <si>
    <t>Make a plan for the whole duration of the placement</t>
  </si>
  <si>
    <t>Made a comprehensive plan for the whole duration of the internship divided into 5 phases</t>
  </si>
  <si>
    <t>Continue working on the tables in Matillion</t>
  </si>
  <si>
    <t>Weekly update meeting with Tomas</t>
  </si>
  <si>
    <t>Working on the tables in Matillion</t>
  </si>
  <si>
    <t>Weekly meeting with supervisor to update him what have been done during the week and if we are stick to schedule</t>
  </si>
  <si>
    <t>Working on links to Vracht table</t>
  </si>
  <si>
    <t>Vracht table is the largest in the database and contains more than 100 columns</t>
  </si>
  <si>
    <t>Meeting with Sven about the planning</t>
  </si>
  <si>
    <t>Went on a meeting with Sven to discuss the planning and make adjustments where needed</t>
  </si>
  <si>
    <t>Exploring the tables in the Snowflake related to Vracht one</t>
  </si>
  <si>
    <t>Meeting with Sven about the Vracht table</t>
  </si>
  <si>
    <t>Discussed the issues with Vracht table because it contained data only for a couple of months ago</t>
  </si>
  <si>
    <t>Finalize the Vracht view</t>
  </si>
  <si>
    <t>Made small tables linking to vracht</t>
  </si>
  <si>
    <t>Explore tables that have to be linked to Dossier table</t>
  </si>
  <si>
    <t>Spent the rest of the dat on the links/hubs and sats related to Dossier</t>
  </si>
  <si>
    <t>Making links to the Dossier table</t>
  </si>
  <si>
    <t>Working on rebuilding the Report in Bold BI</t>
  </si>
  <si>
    <t>Creating the widget for Loadingmeters</t>
  </si>
  <si>
    <t>Creating the widget for Tons per container</t>
  </si>
  <si>
    <t>Creting the widget for both Subcontractors in IT and NL</t>
  </si>
  <si>
    <t>Update meeting with Tomas and Sven</t>
  </si>
  <si>
    <t>Weekly udate meeting with Sven and Tomas to update on the work done and remaining of it</t>
  </si>
  <si>
    <t>Since I haven't got the sql queries from Transpas yet, I started rebuilding the report in BoldBI and later will just update</t>
  </si>
  <si>
    <t>Exploring the BoldBI report by now</t>
  </si>
  <si>
    <t>Prepared a mail to Richard from Van Dijk</t>
  </si>
  <si>
    <t>Prepared comprehensive mail to Richard from Van Dijk explaining which sql queries do I need to be sent to complete the reports</t>
  </si>
  <si>
    <t>Experiment with SQL queries for the DataMart view</t>
  </si>
  <si>
    <t>Experimented with different SQL queries in order to get the correct data in the DataMart view, but since I don’t have the queries form the system yet it’s not easy</t>
  </si>
  <si>
    <t>Meeting with Sven</t>
  </si>
  <si>
    <t>Went on a meeting with Sven to discuss from where in the TMS system we can find the SQL queris for the extractions</t>
  </si>
  <si>
    <t>Exploring the SQL queries in Transpas</t>
  </si>
  <si>
    <t>Searching the SQL query relevant to extracting the contrainers information</t>
  </si>
  <si>
    <t>Data Mapping</t>
  </si>
  <si>
    <t>Finalizing last touches of data mapping</t>
  </si>
  <si>
    <t>Update meeting with mentors</t>
  </si>
  <si>
    <t>Continue working on Data Formatting</t>
  </si>
  <si>
    <t>Meeting with the IT team in the company to give updates.</t>
  </si>
  <si>
    <t>Data Formatting</t>
  </si>
  <si>
    <t>Check the irrelevancies in the data and in deal with the duplicates in the Dossier view</t>
  </si>
  <si>
    <t>Created a separate document with all the things I have to discuss with Richard from VD about the report and the data</t>
  </si>
  <si>
    <t>Meeting with Richard from VanDijk</t>
  </si>
  <si>
    <t>Preparation for meeting with Van Dijk</t>
  </si>
  <si>
    <t>Discussed the questions I had about the data and about the views in the report. Also explained to him the irrelevant results I got to get advice from where they can be</t>
  </si>
  <si>
    <t>Continue on the Data Formatting</t>
  </si>
  <si>
    <t>Prepare mails to Dianne from Van Dijk and Transpas support</t>
  </si>
  <si>
    <t>Prepared mails to Transpas support about the calculation I needed for the division of the prices and to Dianne about the question I had for the report</t>
  </si>
  <si>
    <t>Spent the rest of the day resolving the issues in the mapping</t>
  </si>
  <si>
    <t>Working on data mart views</t>
  </si>
  <si>
    <t>Resoling the issues with the loading meters view for the report. Change the way of the data flow, main table and etc.</t>
  </si>
  <si>
    <t>Change the data for the turnover view to get accurate data in the report</t>
  </si>
  <si>
    <t>Creating views in BoldBI</t>
  </si>
  <si>
    <t>Created view for the loading meters, Transport Turnover, new Turnover data mart it Bold BI</t>
  </si>
  <si>
    <t>Solving issues with dossier view</t>
  </si>
  <si>
    <t>Working on the issues with the duplicates and multiple records per dossier in the Dossier_view</t>
  </si>
  <si>
    <t>Created data mart view for Turnover Transport</t>
  </si>
  <si>
    <t>Christmas Holidays!</t>
  </si>
  <si>
    <t>Checking the data mart views</t>
  </si>
  <si>
    <t>Checking from where the duplicates in the vracht_rit view are coming</t>
  </si>
  <si>
    <t>Experiment with aggregating data columns for duplicates</t>
  </si>
  <si>
    <t>New Year's Holidays!</t>
  </si>
  <si>
    <t>adding new columns with calculations formulas for margins and costs/revenues</t>
  </si>
  <si>
    <t>IT meeting</t>
  </si>
  <si>
    <t>Created new calculations and column for the chargable wieght calculated by the actual, ldmtrs, cubiekmeters</t>
  </si>
  <si>
    <t>Writing the Portfolio</t>
  </si>
  <si>
    <t>Writing the Introduction section of the Portfolio</t>
  </si>
  <si>
    <t>Prepare mails for the colleagues from VD</t>
  </si>
  <si>
    <t>Writing the Project Timeline/Plan Section of the Portfolio</t>
  </si>
  <si>
    <t>Prepare presentation for Comeback day</t>
  </si>
  <si>
    <t>Preparing the slides for BUAS comeback day to present what is done during the placement period</t>
  </si>
  <si>
    <t>Prepare for presenting to the Comeback day</t>
  </si>
  <si>
    <t>Presenting</t>
  </si>
  <si>
    <t>Listening to the presentations of the others</t>
  </si>
  <si>
    <t>Final changes on Data Mapping</t>
  </si>
  <si>
    <t xml:space="preserve">Found a way to keep only one record per dossier </t>
  </si>
  <si>
    <t>Resolving the duplicates within Dossier records</t>
  </si>
  <si>
    <t>Excluding irrelevnt columns from the final mapping view, reordering all left column in the same order as in IX</t>
  </si>
  <si>
    <t>Created 2 additional data mart views and views in the report in Bold BI</t>
  </si>
  <si>
    <t>Writing the Company description section of the Portfolio</t>
  </si>
  <si>
    <t>Fill in the work and learning log for the last weeks</t>
  </si>
  <si>
    <t>Meeting with the reporting team from VD</t>
  </si>
  <si>
    <t>Meeting with Dianne and Daphne from VD to validate the report</t>
  </si>
  <si>
    <t>Linking tables to vracht view</t>
  </si>
  <si>
    <t>Adjustments on all views</t>
  </si>
  <si>
    <t>Renaming and Managing all created view with the ways disscussed during the meeting</t>
  </si>
  <si>
    <t>Setting up Snowflake authentication</t>
  </si>
  <si>
    <t>Prepare mail to Richard</t>
  </si>
  <si>
    <t>Discussed and prepared a mail to Richard about the historical data of the records</t>
  </si>
  <si>
    <t>Experimented with Vracht_Historie table</t>
  </si>
  <si>
    <t>We added a new table to the staging, and I tried to combine them</t>
  </si>
  <si>
    <t>Creating Hubs, sats, links, and lsat links for all the tables (more than 10) linking to the vracht one</t>
  </si>
  <si>
    <t>Integrating vracht_historie</t>
  </si>
  <si>
    <t>Integrating vracht_historie with vracht, so the final table to contain all of the information</t>
  </si>
  <si>
    <t>Meeting with the IT department</t>
  </si>
  <si>
    <t>Data Check</t>
  </si>
  <si>
    <t>Found issue in Dossier_viiew which had duplicates</t>
  </si>
  <si>
    <t>Resolving the issue with Dossier_view</t>
  </si>
  <si>
    <t>Linking views</t>
  </si>
  <si>
    <t>Working on linking vrachtcal_view with vracht_historie_view</t>
  </si>
  <si>
    <t>Working on combining the view to create a complete one</t>
  </si>
  <si>
    <t>Setting up the incremential logic</t>
  </si>
  <si>
    <t>Creating Hubs, sats, links, and lsat links for all the tables in staging and set thei incremential logic with LOAD_DATE and LOAD_END_DATE</t>
  </si>
  <si>
    <t>Put filters for the dates on all of the views</t>
  </si>
  <si>
    <t>Working on vracht_dossier_rit_view</t>
  </si>
  <si>
    <t>Working on combining all main views into one combined</t>
  </si>
  <si>
    <t>Create the first data mart view</t>
  </si>
  <si>
    <t>Started working on the production ready views</t>
  </si>
  <si>
    <t>Working on the data mart views</t>
  </si>
  <si>
    <t>Containers Amounts Data Mart View</t>
  </si>
  <si>
    <t>Traincosts Data Mart View</t>
  </si>
  <si>
    <t>Creating the Loadingmeters per container data mart view</t>
  </si>
  <si>
    <t>Setting up the generate tables</t>
  </si>
  <si>
    <t>Setting the orchestration job for running the views and update the data in accurate order</t>
  </si>
  <si>
    <t>Checking the results</t>
  </si>
  <si>
    <t>Checking, qurying and testing the results of the already creted views</t>
  </si>
  <si>
    <t>Resolving issues in the data mart views</t>
  </si>
  <si>
    <t>Trying to find and minimize the differences in the data</t>
  </si>
  <si>
    <t>Prepare for the on-site day on Thursday</t>
  </si>
  <si>
    <t>Created document with all the things I want to discuss and all the questions I want to ask</t>
  </si>
  <si>
    <t>Testing queries</t>
  </si>
  <si>
    <t>Testing different queries for resolve the issues with the differences in the data I got and in the report</t>
  </si>
  <si>
    <t>On-site meeting with Joost from the Office</t>
  </si>
  <si>
    <t xml:space="preserve">Discuss the data and the queries behind it </t>
  </si>
  <si>
    <t>Checking the other views from the report</t>
  </si>
  <si>
    <t>Testing and quierying the data</t>
  </si>
  <si>
    <t>Querying the data to find the relevant data</t>
  </si>
  <si>
    <t>Got the data in the containers view really close to the orignial report but there are still differences</t>
  </si>
  <si>
    <t>Querying the data</t>
  </si>
  <si>
    <t>Trying to find a way to exclude empty containers from the view</t>
  </si>
  <si>
    <t>Introduction to Bold BI</t>
  </si>
  <si>
    <t>Read papers and got introduced to Bold BI</t>
  </si>
  <si>
    <t>Recreating the first view in Bold Bi together with Sven</t>
  </si>
  <si>
    <t>Experimenting with the features in Bold Bi</t>
  </si>
  <si>
    <t>Putting all the data sources in Bold BI</t>
  </si>
  <si>
    <t>Connecting all the data sources from Snowflake to Bold BI</t>
  </si>
  <si>
    <t>Discuss the sampe of the Move dataset and assign the corresponding column from Transpas</t>
  </si>
  <si>
    <t>Solving issues with access</t>
  </si>
  <si>
    <t>Had issues with the VPN and connecting to Matillion the whole day</t>
  </si>
  <si>
    <t>Finding a solution to the problem</t>
  </si>
  <si>
    <t>Discussed with Sven what could be the problem and also contacted the IT Administrators</t>
  </si>
  <si>
    <t>Connecting to Matilion from IX</t>
  </si>
  <si>
    <t>Found a way to get access to Matillion through the virtual environment of Ixolution (MOVe's TMS system)</t>
  </si>
  <si>
    <t>Working on the data mapping</t>
  </si>
  <si>
    <t>Started with the basics of mapping - column renamings</t>
  </si>
  <si>
    <t xml:space="preserve">Working on a new data mart view </t>
  </si>
  <si>
    <t>Working on a new data mart view, to be the source for the mapping. I made it to be on a dossier (order) level</t>
  </si>
  <si>
    <t>Data Mapping according to the columns that we mapped in the sample excell file from Ixolution</t>
  </si>
  <si>
    <t>Started with calculations for the counrty codes and the zipcodes</t>
  </si>
  <si>
    <t>Making calculations for extracting and making different column out of the data e.g. SH_MONTH, SH_YEAR, SH_QUARTER and etc</t>
  </si>
  <si>
    <t>Making calculations for the dates. Creating additional columns - ACT_LEAD_TIME, REQ_LEAD_TIME, ACT_ARR_TEMR_LEAD_TIME, INTERMODAL_TIME and etc</t>
  </si>
  <si>
    <t xml:space="preserve">Creating new calculation columns: LOAD_SORT_START_TIME, END_TIME, UNLOAD_TIME, CLIENT_STATUS, </t>
  </si>
  <si>
    <t>Working on all left columns related to calculations made out of the dates</t>
  </si>
  <si>
    <t>Adding additional table</t>
  </si>
  <si>
    <t>Working on joining an additional table for the ref_line</t>
  </si>
  <si>
    <t>REF_LANE table added and mapped</t>
  </si>
  <si>
    <t>I made the join between the calculator and the new table and performed the mapping of it</t>
  </si>
  <si>
    <t>Working on setting the vracht_rit view</t>
  </si>
  <si>
    <t>Changed the source of the Vracht_rit view so I get only 1 record per dossier</t>
  </si>
  <si>
    <t>Perform data checks</t>
  </si>
  <si>
    <t>Checking if the link is made the right way and if the data is accurate</t>
  </si>
  <si>
    <t>Joining vracht_view to vracht_rit based on minvracht</t>
  </si>
  <si>
    <t>Worked on creating a separate join to the vracht_rit to get the costs of a dossier</t>
  </si>
  <si>
    <t>Created additional tables (calculations): N/S Italy, Shipment_type, Menu_type, sales_type, office_code, #shipments and etc</t>
  </si>
  <si>
    <t xml:space="preserve">Data Mapping </t>
  </si>
  <si>
    <t>Working on the expression of calcukator 2 component</t>
  </si>
  <si>
    <t>Created an additional columns in the expressions of calculator 1</t>
  </si>
  <si>
    <t>Creating the expressions for time_drop_off_vs_first_departure, time_last_terminal_vs_first_delivery, range_dep_term_unloading and etc</t>
  </si>
  <si>
    <t>Working on the expressions for the departure and arrival addresses, scenario code and descriptions, containerno, sector_code and etc</t>
  </si>
  <si>
    <t>Worked on adding the additional table for the REF_HUB</t>
  </si>
  <si>
    <t>Data Checks</t>
  </si>
  <si>
    <t>Perform data checks to see if the mapping if the values after the mapping are the same as in the data sample</t>
  </si>
  <si>
    <t xml:space="preserve">Renaming values </t>
  </si>
  <si>
    <t>Worked on renaming a lot of values in columns related to station names, addresses and etc.</t>
  </si>
  <si>
    <t>Mapping the columns and values for the company_names, trade_names, city names, address names, shipment_status and shipment_seq</t>
  </si>
  <si>
    <t>Adding link to dossier_view</t>
  </si>
  <si>
    <t>Addiiton additional link from rit_view to the dossier in the join of vracht_rit_view</t>
  </si>
  <si>
    <t>The added link is used to get the train costs per dossier</t>
  </si>
  <si>
    <t>Train Costs calculation</t>
  </si>
  <si>
    <t>Worked on the calculation for the traincosts, which is on a rit level and created sql query that based on the weight divides the costs to all dossiers</t>
  </si>
  <si>
    <t>The added link is used to get the trucking south costs per dossier</t>
  </si>
  <si>
    <t>Tucking South Costs calculation</t>
  </si>
  <si>
    <t>Worked on the calculation for the trucking south costs, which is on a rit level and created sql query that based on the weight divides the costs to all dossiers</t>
  </si>
  <si>
    <t>The added link is used to get the Trucking North costs per dossier</t>
  </si>
  <si>
    <t>Tucking North Costs calculation</t>
  </si>
  <si>
    <t>Worked on the calculation for the Trucking North costs, which is on a rit level and created sql query that based on the weight divides the costs to all dossiers</t>
  </si>
  <si>
    <t>Working on all the costs related data that needs to be mapped</t>
  </si>
  <si>
    <t>Data checks</t>
  </si>
  <si>
    <t xml:space="preserve">Perform data checks to see if the costs are mapped accuratelly </t>
  </si>
  <si>
    <t>Creating new link to dossier_view</t>
  </si>
  <si>
    <t>Working on linking a new table called documented from where I will get datum_angekmaaks as the financial_date</t>
  </si>
  <si>
    <t>Calculations based on the financial data</t>
  </si>
  <si>
    <t>Created expressions for calculations based on the financial data - costs and revenues</t>
  </si>
  <si>
    <t>Perform data checks to find out if the calculations for the costs and revenues are made accuratelly</t>
  </si>
  <si>
    <t>Working on creating data mart views</t>
  </si>
  <si>
    <t>Writing the Methodology section of the portfolio</t>
  </si>
  <si>
    <t>Putting the data marts in Bold Bi</t>
  </si>
  <si>
    <t>Working on creating the data sources for the new views in Bold BI and putting them in the reports</t>
  </si>
  <si>
    <t>Created an additional data mart views in Matillion for the Loadingmeters, Containers, Outsourced Costs and Tons in Belgium</t>
  </si>
  <si>
    <t>Writing the Evaluation and Testing Section in the Portfolio</t>
  </si>
  <si>
    <t>Report checks</t>
  </si>
  <si>
    <t>Checking all the views in the reports and identify issues</t>
  </si>
  <si>
    <t>Meeting with Sven and Tomas</t>
  </si>
  <si>
    <t>Had a meeting with the mentors to validate the final results and conclude the internship</t>
  </si>
  <si>
    <t>Perform data checks with Sven</t>
  </si>
  <si>
    <t xml:space="preserve">Checked all the data with Sven </t>
  </si>
  <si>
    <t>Setting up the generate tables and all schedulers</t>
  </si>
  <si>
    <t>Setting up the generate tables and all schedulers to update the views on a daily basis automatically, and validate the results with Sven</t>
  </si>
  <si>
    <t>Writing the Discussion and Conclusion sections of the Portfolio</t>
  </si>
  <si>
    <t>SQL course</t>
  </si>
  <si>
    <t>Watched a youtube video - SQL Course for Beginners</t>
  </si>
  <si>
    <t>B9</t>
  </si>
  <si>
    <t>B7</t>
  </si>
  <si>
    <t>B8</t>
  </si>
  <si>
    <t>Meeting with the IT team</t>
  </si>
  <si>
    <t>B1</t>
  </si>
  <si>
    <t>B3</t>
  </si>
  <si>
    <t>7*1/26</t>
  </si>
  <si>
    <t>B2</t>
  </si>
  <si>
    <t>Writing the Theoretical Background and Literature Study of the Portfolio</t>
  </si>
  <si>
    <t>Presentation</t>
  </si>
  <si>
    <t>Company Evaluation Form - Week 10</t>
  </si>
  <si>
    <t>Company Evaluation Form Week 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</si>
</sst>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quot;/&quot;m&quot;/&quot;yy"/>
    <numFmt numFmtId="165" formatCode="d&quot;-&quot;mmm&quot;-&quot;yyyy"/>
    <numFmt numFmtId="166" formatCode="d/m/yy"/>
  </numFmts>
  <fonts count="14" x14ac:knownFonts="1">
    <font>
      <sz val="10"/>
      <color rgb="FF000000"/>
      <name val="Arial"/>
    </font>
    <font>
      <sz val="10"/>
      <color rgb="FFFFFFFF"/>
      <name val="Arial"/>
      <family val="2"/>
    </font>
    <font>
      <b/>
      <sz val="10"/>
      <color rgb="FF000000"/>
      <name val="Calibri"/>
      <family val="2"/>
    </font>
    <font>
      <b/>
      <sz val="9"/>
      <color rgb="FFFFFFFF"/>
      <name val="Calibri"/>
      <family val="2"/>
    </font>
    <font>
      <b/>
      <sz val="9"/>
      <name val="Calibri"/>
      <family val="2"/>
    </font>
    <font>
      <sz val="10"/>
      <name val="Arial"/>
      <family val="2"/>
    </font>
    <font>
      <sz val="10"/>
      <color rgb="FF000000"/>
      <name val="Calibri"/>
      <family val="2"/>
    </font>
    <font>
      <i/>
      <sz val="9"/>
      <color rgb="FF000000"/>
      <name val="Calibri"/>
      <family val="2"/>
    </font>
    <font>
      <sz val="9"/>
      <name val="Calibri"/>
      <family val="2"/>
    </font>
    <font>
      <i/>
      <sz val="8"/>
      <name val="Calibri"/>
      <family val="2"/>
    </font>
    <font>
      <i/>
      <sz val="10"/>
      <color rgb="FF000000"/>
      <name val="Calibri"/>
      <family val="2"/>
    </font>
    <font>
      <i/>
      <sz val="10"/>
      <name val="Arial"/>
      <family val="2"/>
    </font>
    <font>
      <sz val="10"/>
      <color rgb="FF000000"/>
      <name val="Arial"/>
      <family val="2"/>
    </font>
    <font>
      <u/>
      <sz val="10"/>
      <color theme="10"/>
      <name val="Arial"/>
    </font>
  </fonts>
  <fills count="17">
    <fill>
      <patternFill patternType="none"/>
    </fill>
    <fill>
      <patternFill patternType="gray125"/>
    </fill>
    <fill>
      <patternFill patternType="solid">
        <fgColor rgb="FF000000"/>
        <bgColor rgb="FF000000"/>
      </patternFill>
    </fill>
    <fill>
      <patternFill patternType="solid">
        <fgColor rgb="FFE6B8AF"/>
        <bgColor rgb="FFE6B8AF"/>
      </patternFill>
    </fill>
    <fill>
      <patternFill patternType="solid">
        <fgColor rgb="FFF3F3F3"/>
        <bgColor rgb="FFF3F3F3"/>
      </patternFill>
    </fill>
    <fill>
      <patternFill patternType="solid">
        <fgColor rgb="FFEFEFEF"/>
        <bgColor rgb="FFEFEFEF"/>
      </patternFill>
    </fill>
    <fill>
      <patternFill patternType="solid">
        <fgColor rgb="FFFF9900"/>
        <bgColor rgb="FFFF9900"/>
      </patternFill>
    </fill>
    <fill>
      <patternFill patternType="solid">
        <fgColor rgb="FFCCCCCC"/>
        <bgColor rgb="FFCCCCCC"/>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D9D2E9"/>
        <bgColor rgb="FFD9D2E9"/>
      </patternFill>
    </fill>
    <fill>
      <patternFill patternType="solid">
        <fgColor theme="1"/>
        <bgColor rgb="FF000000"/>
      </patternFill>
    </fill>
    <fill>
      <patternFill patternType="solid">
        <fgColor rgb="FFFFFF00"/>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s>
  <cellStyleXfs count="2">
    <xf numFmtId="0" fontId="0" fillId="0" borderId="0"/>
    <xf numFmtId="0" fontId="13" fillId="0" borderId="0" applyNumberFormat="0" applyFill="0" applyBorder="0" applyAlignment="0" applyProtection="0"/>
  </cellStyleXfs>
  <cellXfs count="82">
    <xf numFmtId="0" fontId="0" fillId="0" borderId="0" xfId="0"/>
    <xf numFmtId="0" fontId="1" fillId="2" borderId="0" xfId="0" applyFont="1" applyFill="1"/>
    <xf numFmtId="0" fontId="2" fillId="0" borderId="2" xfId="0" applyFont="1" applyBorder="1" applyAlignment="1">
      <alignment horizontal="center"/>
    </xf>
    <xf numFmtId="0" fontId="3" fillId="2" borderId="0" xfId="0" applyFont="1" applyFill="1" applyAlignment="1">
      <alignment wrapText="1"/>
    </xf>
    <xf numFmtId="0" fontId="2" fillId="0" borderId="1" xfId="0" applyFont="1" applyBorder="1" applyAlignment="1">
      <alignment horizontal="center"/>
    </xf>
    <xf numFmtId="0" fontId="3" fillId="2" borderId="0" xfId="0" applyFont="1" applyFill="1" applyAlignment="1">
      <alignment horizontal="center" wrapText="1"/>
    </xf>
    <xf numFmtId="0" fontId="6" fillId="4" borderId="4" xfId="0" applyFont="1" applyFill="1" applyBorder="1"/>
    <xf numFmtId="0" fontId="4" fillId="3" borderId="3" xfId="0" applyFont="1" applyFill="1" applyBorder="1" applyAlignment="1">
      <alignment vertical="center" wrapText="1"/>
    </xf>
    <xf numFmtId="0" fontId="6" fillId="4" borderId="0" xfId="0" applyFont="1" applyFill="1" applyAlignment="1">
      <alignment horizontal="center" vertical="top"/>
    </xf>
    <xf numFmtId="0" fontId="6" fillId="4" borderId="4" xfId="0" applyFont="1" applyFill="1" applyBorder="1" applyAlignment="1">
      <alignment horizontal="center"/>
    </xf>
    <xf numFmtId="0" fontId="4" fillId="3" borderId="1" xfId="0" applyFont="1" applyFill="1" applyBorder="1" applyAlignment="1">
      <alignment vertical="center" wrapText="1"/>
    </xf>
    <xf numFmtId="0" fontId="5" fillId="0" borderId="0" xfId="0" applyFont="1"/>
    <xf numFmtId="0" fontId="9" fillId="0" borderId="0" xfId="0" applyFont="1" applyAlignment="1">
      <alignment vertical="top"/>
    </xf>
    <xf numFmtId="0" fontId="8" fillId="0" borderId="0" xfId="0" applyFont="1" applyAlignment="1">
      <alignment horizontal="center" vertical="top"/>
    </xf>
    <xf numFmtId="0" fontId="6" fillId="5" borderId="0" xfId="0" applyFont="1" applyFill="1" applyAlignment="1">
      <alignment horizontal="center" vertical="top"/>
    </xf>
    <xf numFmtId="0" fontId="8" fillId="0" borderId="0" xfId="0" applyFont="1" applyAlignment="1">
      <alignment vertical="top" wrapText="1"/>
    </xf>
    <xf numFmtId="0" fontId="2" fillId="0" borderId="1" xfId="0" applyFont="1" applyBorder="1"/>
    <xf numFmtId="0" fontId="2" fillId="0" borderId="2" xfId="0" applyFont="1" applyBorder="1" applyAlignment="1">
      <alignment horizontal="center" vertical="top"/>
    </xf>
    <xf numFmtId="165" fontId="8" fillId="0" borderId="7" xfId="0" applyNumberFormat="1" applyFont="1" applyBorder="1" applyAlignment="1">
      <alignment vertical="top"/>
    </xf>
    <xf numFmtId="0" fontId="2" fillId="0" borderId="1" xfId="0" applyFont="1" applyBorder="1" applyAlignment="1">
      <alignment horizontal="center" vertical="top"/>
    </xf>
    <xf numFmtId="0" fontId="8" fillId="0" borderId="7" xfId="0" applyFont="1" applyBorder="1" applyAlignment="1">
      <alignment vertical="top"/>
    </xf>
    <xf numFmtId="0" fontId="6" fillId="0" borderId="0" xfId="0" applyFont="1"/>
    <xf numFmtId="0" fontId="6" fillId="0" borderId="0" xfId="0" applyFont="1" applyAlignment="1">
      <alignment horizontal="center"/>
    </xf>
    <xf numFmtId="0" fontId="8" fillId="0" borderId="7" xfId="0" applyFont="1" applyBorder="1" applyAlignment="1">
      <alignment horizontal="right" vertical="top"/>
    </xf>
    <xf numFmtId="0" fontId="4" fillId="8" borderId="1" xfId="0" applyFont="1" applyFill="1" applyBorder="1" applyAlignment="1">
      <alignment vertical="center" wrapText="1"/>
    </xf>
    <xf numFmtId="166" fontId="8" fillId="0" borderId="0" xfId="0" applyNumberFormat="1" applyFont="1" applyAlignment="1">
      <alignment horizontal="right" vertical="top"/>
    </xf>
    <xf numFmtId="0" fontId="8" fillId="0" borderId="0" xfId="0" applyFont="1" applyAlignment="1">
      <alignment vertical="top"/>
    </xf>
    <xf numFmtId="0" fontId="8" fillId="0" borderId="0" xfId="0" applyFont="1" applyAlignment="1">
      <alignment horizontal="right" vertical="top"/>
    </xf>
    <xf numFmtId="0" fontId="4" fillId="9" borderId="3" xfId="0" applyFont="1" applyFill="1" applyBorder="1" applyAlignment="1">
      <alignment vertical="center" wrapText="1"/>
    </xf>
    <xf numFmtId="0" fontId="4" fillId="9" borderId="1" xfId="0" applyFont="1" applyFill="1" applyBorder="1" applyAlignment="1">
      <alignment vertical="center" wrapText="1"/>
    </xf>
    <xf numFmtId="164" fontId="8" fillId="0" borderId="0" xfId="0" applyNumberFormat="1" applyFont="1" applyAlignment="1">
      <alignment horizontal="right" vertical="top"/>
    </xf>
    <xf numFmtId="0" fontId="4" fillId="10" borderId="3" xfId="0" applyFont="1" applyFill="1" applyBorder="1" applyAlignment="1">
      <alignment vertical="center" wrapText="1"/>
    </xf>
    <xf numFmtId="0" fontId="4" fillId="10" borderId="1" xfId="0" applyFont="1" applyFill="1" applyBorder="1" applyAlignment="1">
      <alignment vertical="center" wrapText="1"/>
    </xf>
    <xf numFmtId="0" fontId="4" fillId="11" borderId="3" xfId="0" applyFont="1" applyFill="1" applyBorder="1" applyAlignment="1">
      <alignment vertical="center" wrapText="1"/>
    </xf>
    <xf numFmtId="0" fontId="4" fillId="11" borderId="1" xfId="0" applyFont="1" applyFill="1" applyBorder="1" applyAlignment="1">
      <alignment vertical="center" wrapText="1"/>
    </xf>
    <xf numFmtId="0" fontId="4" fillId="12" borderId="3" xfId="0" applyFont="1" applyFill="1" applyBorder="1" applyAlignment="1">
      <alignment vertical="center" wrapText="1"/>
    </xf>
    <xf numFmtId="0" fontId="4" fillId="12" borderId="1" xfId="0" applyFont="1" applyFill="1" applyBorder="1" applyAlignment="1">
      <alignment vertical="center" wrapText="1"/>
    </xf>
    <xf numFmtId="0" fontId="4" fillId="13" borderId="3" xfId="0" applyFont="1" applyFill="1" applyBorder="1" applyAlignment="1">
      <alignment vertical="center" wrapText="1"/>
    </xf>
    <xf numFmtId="0" fontId="4" fillId="13" borderId="1" xfId="0" applyFont="1" applyFill="1" applyBorder="1" applyAlignment="1">
      <alignment vertical="center" wrapText="1"/>
    </xf>
    <xf numFmtId="0" fontId="4" fillId="14" borderId="8" xfId="0" applyFont="1" applyFill="1" applyBorder="1" applyAlignment="1">
      <alignment vertical="center" wrapText="1"/>
    </xf>
    <xf numFmtId="0" fontId="4" fillId="14" borderId="9" xfId="0" applyFont="1" applyFill="1" applyBorder="1" applyAlignment="1">
      <alignment vertical="center" wrapText="1"/>
    </xf>
    <xf numFmtId="0" fontId="8" fillId="0" borderId="0" xfId="0" applyFont="1"/>
    <xf numFmtId="0" fontId="8" fillId="0" borderId="0" xfId="0" applyFont="1" applyAlignment="1">
      <alignment horizontal="right"/>
    </xf>
    <xf numFmtId="0" fontId="4" fillId="8" borderId="3" xfId="0" applyFont="1" applyFill="1" applyBorder="1" applyAlignment="1">
      <alignment vertical="center" wrapText="1"/>
    </xf>
    <xf numFmtId="0" fontId="0" fillId="0" borderId="0" xfId="0"/>
    <xf numFmtId="0" fontId="3" fillId="15" borderId="0" xfId="0" applyFont="1" applyFill="1" applyAlignment="1">
      <alignment horizontal="center" wrapText="1"/>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7" fillId="13" borderId="5" xfId="0" applyFont="1" applyFill="1" applyBorder="1" applyAlignment="1">
      <alignment vertical="center"/>
    </xf>
    <xf numFmtId="0" fontId="5" fillId="0" borderId="2" xfId="0" applyFont="1" applyBorder="1"/>
    <xf numFmtId="0" fontId="5" fillId="0" borderId="6" xfId="0" applyFont="1" applyBorder="1"/>
    <xf numFmtId="0" fontId="4" fillId="14" borderId="5" xfId="0" applyFont="1" applyFill="1" applyBorder="1" applyAlignment="1">
      <alignment wrapText="1"/>
    </xf>
    <xf numFmtId="0" fontId="7" fillId="14" borderId="3" xfId="0" applyFont="1" applyFill="1" applyBorder="1"/>
    <xf numFmtId="0" fontId="5" fillId="0" borderId="3" xfId="0" applyFont="1" applyBorder="1"/>
    <xf numFmtId="0" fontId="5" fillId="0" borderId="8" xfId="0" applyFont="1" applyBorder="1"/>
    <xf numFmtId="0" fontId="7" fillId="14" borderId="3" xfId="0" applyFont="1" applyFill="1" applyBorder="1" applyAlignment="1">
      <alignment vertical="center"/>
    </xf>
    <xf numFmtId="0" fontId="4" fillId="12" borderId="5" xfId="0" applyFont="1" applyFill="1" applyBorder="1" applyAlignment="1">
      <alignment vertical="center" wrapText="1"/>
    </xf>
    <xf numFmtId="0" fontId="7" fillId="12" borderId="5" xfId="0" applyFont="1" applyFill="1" applyBorder="1" applyAlignment="1">
      <alignment vertical="center"/>
    </xf>
    <xf numFmtId="0" fontId="4" fillId="13" borderId="5" xfId="0" applyFont="1" applyFill="1" applyBorder="1" applyAlignment="1">
      <alignment vertical="center" wrapText="1"/>
    </xf>
    <xf numFmtId="0" fontId="7" fillId="10" borderId="5" xfId="0" applyFont="1" applyFill="1" applyBorder="1" applyAlignment="1">
      <alignment vertical="center"/>
    </xf>
    <xf numFmtId="0" fontId="4" fillId="11" borderId="5" xfId="0" applyFont="1" applyFill="1" applyBorder="1" applyAlignment="1">
      <alignment vertical="center" wrapText="1"/>
    </xf>
    <xf numFmtId="0" fontId="7" fillId="11" borderId="5" xfId="0" applyFont="1" applyFill="1" applyBorder="1" applyAlignment="1">
      <alignment vertical="center"/>
    </xf>
    <xf numFmtId="0" fontId="7" fillId="8" borderId="5" xfId="0" applyFont="1" applyFill="1" applyBorder="1" applyAlignment="1">
      <alignment vertical="center"/>
    </xf>
    <xf numFmtId="0" fontId="4" fillId="9" borderId="5" xfId="0" applyFont="1" applyFill="1" applyBorder="1" applyAlignment="1">
      <alignment vertical="center" wrapText="1"/>
    </xf>
    <xf numFmtId="0" fontId="7" fillId="9" borderId="5" xfId="0" applyFont="1" applyFill="1" applyBorder="1" applyAlignment="1">
      <alignment vertical="center"/>
    </xf>
    <xf numFmtId="0" fontId="4" fillId="10" borderId="5" xfId="0" applyFont="1" applyFill="1" applyBorder="1" applyAlignment="1">
      <alignment vertical="center" wrapText="1"/>
    </xf>
    <xf numFmtId="0" fontId="4" fillId="3" borderId="3" xfId="0" applyFont="1" applyFill="1" applyBorder="1" applyAlignment="1">
      <alignment horizontal="left" vertical="center" wrapText="1"/>
    </xf>
    <xf numFmtId="0" fontId="7" fillId="3" borderId="5" xfId="0" applyFont="1" applyFill="1" applyBorder="1" applyAlignment="1">
      <alignment vertical="center"/>
    </xf>
    <xf numFmtId="0" fontId="4" fillId="8" borderId="3" xfId="0" applyFont="1" applyFill="1" applyBorder="1" applyAlignment="1">
      <alignment vertical="center" wrapText="1"/>
    </xf>
    <xf numFmtId="0" fontId="10" fillId="6" borderId="0" xfId="0" applyFont="1" applyFill="1" applyAlignment="1">
      <alignment vertical="top" wrapText="1"/>
    </xf>
    <xf numFmtId="0" fontId="0" fillId="0" borderId="0" xfId="0"/>
    <xf numFmtId="0" fontId="5" fillId="7" borderId="0" xfId="0" applyFont="1" applyFill="1"/>
    <xf numFmtId="0" fontId="8" fillId="16" borderId="0" xfId="0" applyFont="1" applyFill="1" applyAlignment="1">
      <alignment horizontal="right" vertical="top"/>
    </xf>
    <xf numFmtId="0" fontId="8" fillId="0" borderId="0" xfId="0" applyFont="1" applyAlignment="1">
      <alignment horizontal="center" vertical="top" wrapText="1"/>
    </xf>
    <xf numFmtId="0" fontId="13" fillId="0" borderId="0" xfId="1" applyAlignment="1">
      <alignment vertical="top"/>
    </xf>
  </cellXfs>
  <cellStyles count="2">
    <cellStyle name="Hyperlink" xfId="1" builtinId="8"/>
    <cellStyle name="Normal" xfId="0" builtinId="0"/>
  </cellStyles>
  <dxfs count="32">
    <dxf>
      <fill>
        <patternFill patternType="solid">
          <fgColor rgb="FFF6B26B"/>
          <bgColor rgb="FFF6B26B"/>
        </patternFill>
      </fill>
    </dxf>
    <dxf>
      <fill>
        <patternFill patternType="solid">
          <fgColor rgb="FFFFD966"/>
          <bgColor rgb="FFFFD966"/>
        </patternFill>
      </fill>
    </dxf>
    <dxf>
      <font>
        <b/>
        <color rgb="FF000000"/>
      </font>
      <fill>
        <patternFill patternType="solid">
          <fgColor rgb="FF93C47D"/>
          <bgColor rgb="FF93C47D"/>
        </patternFill>
      </fill>
    </dxf>
    <dxf>
      <font>
        <b/>
        <color rgb="FFFFFFFF"/>
      </font>
      <fill>
        <patternFill patternType="solid">
          <fgColor rgb="FFFF0000"/>
          <bgColor rgb="FFFF0000"/>
        </patternFill>
      </fill>
    </dxf>
    <dxf>
      <fill>
        <patternFill patternType="solid">
          <fgColor rgb="FFD0E0E3"/>
          <bgColor rgb="FFD0E0E3"/>
        </patternFill>
      </fill>
    </dxf>
    <dxf>
      <fill>
        <patternFill patternType="solid">
          <fgColor rgb="FFFFF2CC"/>
          <bgColor rgb="FFFFF2CC"/>
        </patternFill>
      </fill>
    </dxf>
    <dxf>
      <fill>
        <patternFill patternType="solid">
          <fgColor rgb="FFFCE5CD"/>
          <bgColor rgb="FFFCE5CD"/>
        </patternFill>
      </fill>
    </dxf>
    <dxf>
      <fill>
        <patternFill patternType="solid">
          <fgColor rgb="FFF6B26B"/>
          <bgColor rgb="FFF6B26B"/>
        </patternFill>
      </fill>
    </dxf>
    <dxf>
      <fill>
        <patternFill patternType="solid">
          <fgColor rgb="FFFFD966"/>
          <bgColor rgb="FFFFD966"/>
        </patternFill>
      </fill>
    </dxf>
    <dxf>
      <fill>
        <patternFill patternType="solid">
          <fgColor rgb="FFFCE8B2"/>
          <bgColor rgb="FFFCE8B2"/>
        </patternFill>
      </fill>
    </dxf>
    <dxf>
      <fill>
        <patternFill patternType="solid">
          <fgColor rgb="FFF4C7C3"/>
          <bgColor rgb="FFF4C7C3"/>
        </patternFill>
      </fill>
    </dxf>
    <dxf>
      <fill>
        <patternFill patternType="solid">
          <fgColor rgb="FFFCE8B2"/>
          <bgColor rgb="FFFCE8B2"/>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6B26B"/>
          <bgColor rgb="FFF6B26B"/>
        </patternFill>
      </fill>
    </dxf>
    <dxf>
      <fill>
        <patternFill patternType="solid">
          <fgColor rgb="FFFFD966"/>
          <bgColor rgb="FFFFD966"/>
        </patternFill>
      </fill>
    </dxf>
    <dxf>
      <fill>
        <patternFill patternType="solid">
          <fgColor rgb="FFF6B26B"/>
          <bgColor rgb="FFF6B26B"/>
        </patternFill>
      </fill>
    </dxf>
    <dxf>
      <fill>
        <patternFill patternType="solid">
          <fgColor rgb="FFFFD966"/>
          <bgColor rgb="FFFFD966"/>
        </patternFill>
      </fill>
    </dxf>
    <dxf>
      <font>
        <b/>
        <color rgb="FF000000"/>
      </font>
      <fill>
        <patternFill patternType="solid">
          <fgColor rgb="FF93C47D"/>
          <bgColor rgb="FF93C47D"/>
        </patternFill>
      </fill>
    </dxf>
    <dxf>
      <font>
        <b/>
        <color rgb="FFFFFFFF"/>
      </font>
      <fill>
        <patternFill patternType="solid">
          <fgColor rgb="FFFF0000"/>
          <bgColor rgb="FFFF0000"/>
        </patternFill>
      </fill>
    </dxf>
    <dxf>
      <fill>
        <patternFill patternType="solid">
          <fgColor rgb="FFD0E0E3"/>
          <bgColor rgb="FFD0E0E3"/>
        </patternFill>
      </fill>
    </dxf>
    <dxf>
      <fill>
        <patternFill patternType="solid">
          <fgColor rgb="FFFFF2CC"/>
          <bgColor rgb="FFFFF2CC"/>
        </patternFill>
      </fill>
    </dxf>
    <dxf>
      <fill>
        <patternFill patternType="solid">
          <fgColor rgb="FFFCE5CD"/>
          <bgColor rgb="FFFCE5CD"/>
        </patternFill>
      </fill>
    </dxf>
    <dxf>
      <fill>
        <patternFill patternType="solid">
          <fgColor rgb="FFF6B26B"/>
          <bgColor rgb="FFF6B26B"/>
        </patternFill>
      </fill>
    </dxf>
    <dxf>
      <fill>
        <patternFill patternType="solid">
          <fgColor rgb="FFFFD966"/>
          <bgColor rgb="FFFFD966"/>
        </patternFill>
      </fill>
    </dxf>
    <dxf>
      <font>
        <b/>
        <color rgb="FF000000"/>
      </font>
      <fill>
        <patternFill patternType="solid">
          <fgColor rgb="FF93C47D"/>
          <bgColor rgb="FF93C47D"/>
        </patternFill>
      </fill>
    </dxf>
    <dxf>
      <font>
        <b/>
        <color rgb="FFFFFFFF"/>
      </font>
      <fill>
        <patternFill patternType="solid">
          <fgColor rgb="FFFF0000"/>
          <bgColor rgb="FFFF0000"/>
        </patternFill>
      </fill>
    </dxf>
    <dxf>
      <fill>
        <patternFill patternType="solid">
          <fgColor rgb="FFD0E0E3"/>
          <bgColor rgb="FFD0E0E3"/>
        </patternFill>
      </fill>
    </dxf>
    <dxf>
      <fill>
        <patternFill patternType="solid">
          <fgColor rgb="FFFFF2CC"/>
          <bgColor rgb="FFFFF2CC"/>
        </patternFill>
      </fill>
    </dxf>
    <dxf>
      <fill>
        <patternFill patternType="solid">
          <fgColor rgb="FFFCE5CD"/>
          <bgColor rgb="FFFCE5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github.com/VladislavStoimenov235030/Vladislav_Stoimenov_235030_Placement_25_26/blob/1112dc4e6aa10d69ba9f43ee767b41100a2b9d84/Work_Placement_Portfolio_Vladislav_Stoimenov_235030.pdf" TargetMode="External"/><Relationship Id="rId13" Type="http://schemas.openxmlformats.org/officeDocument/2006/relationships/hyperlink" Target="https://github.com/VladislavStoimenov235030/Vladislav_Stoimenov_235030_Placement_25_26/blob/1112dc4e6aa10d69ba9f43ee767b41100a2b9d84/Work_Placement_Portfolio_Vladislav_Stoimenov_235030.pdf" TargetMode="External"/><Relationship Id="rId3" Type="http://schemas.openxmlformats.org/officeDocument/2006/relationships/hyperlink" Target="https://github.com/VladislavStoimenov235030/Vladislav_Stoimenov_235030_Placement_25_26/blob/0ac9e531882a1c2ae849207dc5df3dbcc97c1901/Data%20Integration%20%26%20BI%20Automation%20Internship.pptx" TargetMode="External"/><Relationship Id="rId7" Type="http://schemas.openxmlformats.org/officeDocument/2006/relationships/hyperlink" Target="https://github.com/VladislavStoimenov235030/Vladislav_Stoimenov_235030_Placement_25_26/blob/1112dc4e6aa10d69ba9f43ee767b41100a2b9d84/Work_Placement_Portfolio_Vladislav_Stoimenov_235030.pdf" TargetMode="External"/><Relationship Id="rId12" Type="http://schemas.openxmlformats.org/officeDocument/2006/relationships/hyperlink" Target="https://github.com/VladislavStoimenov235030/Vladislav_Stoimenov_235030_Placement_25_26/blob/8ab7ee61da47838dc1369d902673fee625c4a932/Data_Integration_Planning.xlsx" TargetMode="External"/><Relationship Id="rId2" Type="http://schemas.openxmlformats.org/officeDocument/2006/relationships/hyperlink" Target="https://github.com/VladislavStoimenov235030/Vladislav_Stoimenov_235030_Placement_25_26/blob/0ac9e531882a1c2ae849207dc5df3dbcc97c1901/Data%20Integration%20%26%20BI%20Automation%20Internship.pptx" TargetMode="External"/><Relationship Id="rId1" Type="http://schemas.openxmlformats.org/officeDocument/2006/relationships/hyperlink" Target="https://www.youtube.com/watch?v=7S_tz1z_5bA" TargetMode="External"/><Relationship Id="rId6" Type="http://schemas.openxmlformats.org/officeDocument/2006/relationships/hyperlink" Target="https://github.com/VladislavStoimenov235030/Vladislav_Stoimenov_235030_Placement_25_26/blob/1112dc4e6aa10d69ba9f43ee767b41100a2b9d84/Work_Placement_Portfolio_Vladislav_Stoimenov_235030.pdf" TargetMode="External"/><Relationship Id="rId11" Type="http://schemas.openxmlformats.org/officeDocument/2006/relationships/hyperlink" Target="https://github.com/VladislavStoimenov235030/Vladislav_Stoimenov_235030_Placement_25_26/blob/1112dc4e6aa10d69ba9f43ee767b41100a2b9d84/Work_Placement_Portfolio_Vladislav_Stoimenov_235030.pdf" TargetMode="External"/><Relationship Id="rId5" Type="http://schemas.openxmlformats.org/officeDocument/2006/relationships/hyperlink" Target="https://github.com/VladislavStoimenov235030/Vladislav_Stoimenov_235030_Placement_25_26/blob/0ac9e531882a1c2ae849207dc5df3dbcc97c1901/Company%20Evaluation%20Form%20-%20Week%2020.pdf" TargetMode="External"/><Relationship Id="rId10" Type="http://schemas.openxmlformats.org/officeDocument/2006/relationships/hyperlink" Target="https://github.com/VladislavStoimenov235030/Vladislav_Stoimenov_235030_Placement_25_26/blob/1112dc4e6aa10d69ba9f43ee767b41100a2b9d84/Work_Placement_Portfolio_Vladislav_Stoimenov_235030.pdf" TargetMode="External"/><Relationship Id="rId4" Type="http://schemas.openxmlformats.org/officeDocument/2006/relationships/hyperlink" Target="https://github.com/VladislavStoimenov235030/Vladislav_Stoimenov_235030_Placement_25_26/blob/0ac9e531882a1c2ae849207dc5df3dbcc97c1901/Company%20Evaluation%20Form%20-%20Week%2010.pdf" TargetMode="External"/><Relationship Id="rId9" Type="http://schemas.openxmlformats.org/officeDocument/2006/relationships/hyperlink" Target="https://github.com/VladislavStoimenov235030/Vladislav_Stoimenov_235030_Placement_25_26/blob/1112dc4e6aa10d69ba9f43ee767b41100a2b9d84/Work_Placement_Portfolio_Vladislav_Stoimenov_235030.pdf" TargetMode="External"/><Relationship Id="rId1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A1:J451"/>
  <sheetViews>
    <sheetView tabSelected="1" zoomScale="85" zoomScaleNormal="85" workbookViewId="0">
      <pane ySplit="1" topLeftCell="A413" activePane="bottomLeft" state="frozen"/>
      <selection pane="bottomLeft" activeCell="J448" sqref="J448"/>
    </sheetView>
  </sheetViews>
  <sheetFormatPr defaultColWidth="14.42578125" defaultRowHeight="15" customHeight="1" x14ac:dyDescent="0.2"/>
  <cols>
    <col min="1" max="1" width="9.85546875" customWidth="1"/>
    <col min="2" max="2" width="11.28515625" customWidth="1"/>
    <col min="3" max="3" width="16.28515625" customWidth="1"/>
    <col min="4" max="4" width="43.42578125" customWidth="1"/>
    <col min="5" max="6" width="15.42578125" customWidth="1"/>
    <col min="7" max="7" width="15.5703125" customWidth="1"/>
    <col min="8" max="8" width="8.42578125" customWidth="1"/>
    <col min="9" max="9" width="6.42578125" customWidth="1"/>
    <col min="10" max="10" width="81.28515625" customWidth="1"/>
  </cols>
  <sheetData>
    <row r="1" spans="1:10" ht="24" x14ac:dyDescent="0.2">
      <c r="A1" s="3" t="s">
        <v>0</v>
      </c>
      <c r="B1" s="3" t="s">
        <v>1</v>
      </c>
      <c r="C1" s="3" t="s">
        <v>2</v>
      </c>
      <c r="D1" s="3" t="s">
        <v>3</v>
      </c>
      <c r="E1" s="5" t="s">
        <v>4</v>
      </c>
      <c r="F1" s="45" t="s">
        <v>5</v>
      </c>
      <c r="G1" s="45" t="s">
        <v>6</v>
      </c>
      <c r="H1" s="45" t="s">
        <v>7</v>
      </c>
      <c r="I1" s="5" t="s">
        <v>8</v>
      </c>
      <c r="J1" s="3" t="s">
        <v>9</v>
      </c>
    </row>
    <row r="2" spans="1:10" ht="18.75" customHeight="1" x14ac:dyDescent="0.2">
      <c r="A2" s="73" t="s">
        <v>10</v>
      </c>
      <c r="B2" s="60"/>
      <c r="C2" s="60"/>
      <c r="D2" s="60"/>
      <c r="E2" s="60"/>
      <c r="F2" s="60"/>
      <c r="G2" s="60"/>
      <c r="H2" s="60"/>
      <c r="I2" s="60"/>
      <c r="J2" s="60"/>
    </row>
    <row r="3" spans="1:10" ht="12.75" x14ac:dyDescent="0.2">
      <c r="A3" s="7" t="s">
        <v>11</v>
      </c>
      <c r="B3" s="74" t="s">
        <v>12</v>
      </c>
      <c r="C3" s="56"/>
      <c r="D3" s="56"/>
      <c r="E3" s="56"/>
      <c r="F3" s="56"/>
      <c r="G3" s="56"/>
      <c r="H3" s="56"/>
      <c r="I3" s="56"/>
      <c r="J3" s="57"/>
    </row>
    <row r="4" spans="1:10" ht="27.75" customHeight="1" x14ac:dyDescent="0.2">
      <c r="A4" s="10" t="s">
        <v>13</v>
      </c>
      <c r="B4" s="74" t="s">
        <v>14</v>
      </c>
      <c r="C4" s="56"/>
      <c r="D4" s="56"/>
      <c r="E4" s="56"/>
      <c r="F4" s="56"/>
      <c r="G4" s="56"/>
      <c r="H4" s="56"/>
      <c r="I4" s="56"/>
      <c r="J4" s="57"/>
    </row>
    <row r="5" spans="1:10" ht="12.75" x14ac:dyDescent="0.2">
      <c r="A5" s="30">
        <v>45901</v>
      </c>
      <c r="B5" s="26" t="s">
        <v>50</v>
      </c>
      <c r="C5" s="12" t="s">
        <v>15</v>
      </c>
      <c r="D5" s="26" t="s">
        <v>83</v>
      </c>
      <c r="E5" s="13" t="s">
        <v>45</v>
      </c>
      <c r="F5" s="13" t="s">
        <v>70</v>
      </c>
      <c r="G5" s="27">
        <v>1</v>
      </c>
      <c r="H5" s="27">
        <v>1</v>
      </c>
      <c r="I5" s="27">
        <f t="shared" ref="I5:I27" si="0">H5-G5</f>
        <v>0</v>
      </c>
      <c r="J5" s="26"/>
    </row>
    <row r="6" spans="1:10" ht="12.75" x14ac:dyDescent="0.2">
      <c r="A6" s="30">
        <v>45901</v>
      </c>
      <c r="B6" s="26" t="s">
        <v>50</v>
      </c>
      <c r="C6" s="12" t="s">
        <v>15</v>
      </c>
      <c r="D6" s="26" t="s">
        <v>84</v>
      </c>
      <c r="E6" s="13" t="s">
        <v>45</v>
      </c>
      <c r="F6" s="13" t="s">
        <v>70</v>
      </c>
      <c r="G6" s="27">
        <v>2</v>
      </c>
      <c r="H6" s="27">
        <v>2</v>
      </c>
      <c r="I6" s="27">
        <f t="shared" si="0"/>
        <v>0</v>
      </c>
      <c r="J6" s="15"/>
    </row>
    <row r="7" spans="1:10" ht="12.75" x14ac:dyDescent="0.2">
      <c r="A7" s="30">
        <v>45901</v>
      </c>
      <c r="B7" s="26" t="s">
        <v>50</v>
      </c>
      <c r="C7" s="12" t="s">
        <v>15</v>
      </c>
      <c r="D7" s="26" t="s">
        <v>86</v>
      </c>
      <c r="E7" s="13" t="s">
        <v>45</v>
      </c>
      <c r="F7" s="13" t="s">
        <v>70</v>
      </c>
      <c r="G7" s="27">
        <v>1</v>
      </c>
      <c r="H7" s="27">
        <v>1</v>
      </c>
      <c r="I7" s="27">
        <f t="shared" si="0"/>
        <v>0</v>
      </c>
      <c r="J7" s="15"/>
    </row>
    <row r="8" spans="1:10" ht="12.75" x14ac:dyDescent="0.2">
      <c r="A8" s="30">
        <v>45901</v>
      </c>
      <c r="B8" s="26" t="s">
        <v>50</v>
      </c>
      <c r="C8" s="12" t="s">
        <v>15</v>
      </c>
      <c r="D8" s="26" t="s">
        <v>85</v>
      </c>
      <c r="E8" s="13" t="s">
        <v>61</v>
      </c>
      <c r="F8" s="13" t="s">
        <v>41</v>
      </c>
      <c r="G8" s="27">
        <v>1</v>
      </c>
      <c r="H8" s="27">
        <v>1</v>
      </c>
      <c r="I8" s="27">
        <f t="shared" si="0"/>
        <v>0</v>
      </c>
      <c r="J8" s="15"/>
    </row>
    <row r="9" spans="1:10" ht="12.75" x14ac:dyDescent="0.2">
      <c r="A9" s="30">
        <v>45901</v>
      </c>
      <c r="B9" s="26" t="s">
        <v>50</v>
      </c>
      <c r="C9" s="12" t="s">
        <v>15</v>
      </c>
      <c r="D9" s="26" t="s">
        <v>86</v>
      </c>
      <c r="E9" s="13" t="s">
        <v>45</v>
      </c>
      <c r="F9" s="13" t="s">
        <v>70</v>
      </c>
      <c r="G9" s="27">
        <v>2</v>
      </c>
      <c r="H9" s="27">
        <v>2</v>
      </c>
      <c r="I9" s="27">
        <f t="shared" si="0"/>
        <v>0</v>
      </c>
      <c r="J9" s="15"/>
    </row>
    <row r="10" spans="1:10" ht="12.75" x14ac:dyDescent="0.2">
      <c r="A10" s="30">
        <v>45901</v>
      </c>
      <c r="B10" s="26" t="s">
        <v>50</v>
      </c>
      <c r="C10" s="12" t="s">
        <v>15</v>
      </c>
      <c r="D10" s="26" t="s">
        <v>87</v>
      </c>
      <c r="E10" s="13" t="s">
        <v>53</v>
      </c>
      <c r="F10" s="13" t="s">
        <v>70</v>
      </c>
      <c r="G10" s="27">
        <v>2</v>
      </c>
      <c r="H10" s="27">
        <v>2</v>
      </c>
      <c r="I10" s="27">
        <f t="shared" si="0"/>
        <v>0</v>
      </c>
      <c r="J10" s="15" t="s">
        <v>90</v>
      </c>
    </row>
    <row r="11" spans="1:10" ht="12.75" x14ac:dyDescent="0.2">
      <c r="A11" s="30">
        <v>45902</v>
      </c>
      <c r="B11" s="26" t="s">
        <v>50</v>
      </c>
      <c r="C11" s="12" t="s">
        <v>15</v>
      </c>
      <c r="D11" s="26" t="s">
        <v>86</v>
      </c>
      <c r="E11" s="13" t="s">
        <v>45</v>
      </c>
      <c r="F11" s="13" t="s">
        <v>70</v>
      </c>
      <c r="G11" s="27">
        <v>2</v>
      </c>
      <c r="H11" s="27">
        <v>2</v>
      </c>
      <c r="I11" s="27">
        <f t="shared" si="0"/>
        <v>0</v>
      </c>
      <c r="J11" s="15"/>
    </row>
    <row r="12" spans="1:10" ht="12.75" x14ac:dyDescent="0.2">
      <c r="A12" s="30">
        <v>45902</v>
      </c>
      <c r="B12" s="26" t="s">
        <v>50</v>
      </c>
      <c r="C12" s="12" t="s">
        <v>15</v>
      </c>
      <c r="D12" s="26" t="s">
        <v>88</v>
      </c>
      <c r="E12" s="13" t="s">
        <v>53</v>
      </c>
      <c r="F12" s="13" t="s">
        <v>70</v>
      </c>
      <c r="G12" s="27">
        <v>2</v>
      </c>
      <c r="H12" s="27">
        <v>2</v>
      </c>
      <c r="I12" s="27">
        <f t="shared" si="0"/>
        <v>0</v>
      </c>
      <c r="J12" s="15"/>
    </row>
    <row r="13" spans="1:10" ht="12.75" x14ac:dyDescent="0.2">
      <c r="A13" s="30">
        <v>45902</v>
      </c>
      <c r="B13" s="26" t="s">
        <v>50</v>
      </c>
      <c r="C13" s="12" t="s">
        <v>15</v>
      </c>
      <c r="D13" s="26" t="s">
        <v>85</v>
      </c>
      <c r="E13" s="13" t="s">
        <v>61</v>
      </c>
      <c r="F13" s="13" t="s">
        <v>41</v>
      </c>
      <c r="G13" s="27">
        <v>1</v>
      </c>
      <c r="H13" s="27">
        <v>1</v>
      </c>
      <c r="I13" s="27">
        <f t="shared" si="0"/>
        <v>0</v>
      </c>
      <c r="J13" s="15"/>
    </row>
    <row r="14" spans="1:10" ht="12.75" x14ac:dyDescent="0.2">
      <c r="A14" s="30">
        <v>45902</v>
      </c>
      <c r="B14" s="26" t="s">
        <v>50</v>
      </c>
      <c r="C14" s="12" t="s">
        <v>15</v>
      </c>
      <c r="D14" s="26" t="s">
        <v>88</v>
      </c>
      <c r="E14" s="13" t="s">
        <v>53</v>
      </c>
      <c r="F14" s="13" t="s">
        <v>70</v>
      </c>
      <c r="G14" s="27">
        <v>2</v>
      </c>
      <c r="H14" s="27">
        <v>2</v>
      </c>
      <c r="I14" s="27">
        <f t="shared" si="0"/>
        <v>0</v>
      </c>
      <c r="J14" s="15" t="s">
        <v>89</v>
      </c>
    </row>
    <row r="15" spans="1:10" s="44" customFormat="1" ht="12.75" x14ac:dyDescent="0.2">
      <c r="A15" s="30">
        <v>45902</v>
      </c>
      <c r="B15" s="26" t="s">
        <v>50</v>
      </c>
      <c r="C15" s="12" t="s">
        <v>15</v>
      </c>
      <c r="D15" s="26" t="s">
        <v>87</v>
      </c>
      <c r="E15" s="13" t="s">
        <v>53</v>
      </c>
      <c r="F15" s="13" t="s">
        <v>70</v>
      </c>
      <c r="G15" s="27">
        <v>2</v>
      </c>
      <c r="H15" s="27">
        <v>2</v>
      </c>
      <c r="I15" s="27">
        <f t="shared" si="0"/>
        <v>0</v>
      </c>
      <c r="J15" s="15"/>
    </row>
    <row r="16" spans="1:10" s="44" customFormat="1" ht="12.75" x14ac:dyDescent="0.2">
      <c r="A16" s="30">
        <v>45903</v>
      </c>
      <c r="B16" s="26" t="s">
        <v>50</v>
      </c>
      <c r="C16" s="12" t="s">
        <v>15</v>
      </c>
      <c r="D16" s="26" t="s">
        <v>91</v>
      </c>
      <c r="E16" s="13" t="s">
        <v>59</v>
      </c>
      <c r="F16" s="13" t="s">
        <v>70</v>
      </c>
      <c r="G16" s="27">
        <v>4</v>
      </c>
      <c r="H16" s="27">
        <v>3</v>
      </c>
      <c r="I16" s="27">
        <f t="shared" si="0"/>
        <v>-1</v>
      </c>
      <c r="J16" s="15"/>
    </row>
    <row r="17" spans="1:10" s="44" customFormat="1" ht="12.75" x14ac:dyDescent="0.2">
      <c r="A17" s="30">
        <v>45903</v>
      </c>
      <c r="B17" s="26" t="s">
        <v>50</v>
      </c>
      <c r="C17" s="12" t="s">
        <v>15</v>
      </c>
      <c r="D17" s="26" t="s">
        <v>85</v>
      </c>
      <c r="E17" s="13" t="s">
        <v>61</v>
      </c>
      <c r="F17" s="13" t="s">
        <v>41</v>
      </c>
      <c r="G17" s="27">
        <v>1</v>
      </c>
      <c r="H17" s="27">
        <v>1</v>
      </c>
      <c r="I17" s="27">
        <f t="shared" si="0"/>
        <v>0</v>
      </c>
      <c r="J17" s="15"/>
    </row>
    <row r="18" spans="1:10" s="44" customFormat="1" ht="12.75" x14ac:dyDescent="0.2">
      <c r="A18" s="30">
        <v>45903</v>
      </c>
      <c r="B18" s="26" t="s">
        <v>50</v>
      </c>
      <c r="C18" s="12" t="s">
        <v>15</v>
      </c>
      <c r="D18" s="26" t="s">
        <v>92</v>
      </c>
      <c r="E18" s="13" t="s">
        <v>53</v>
      </c>
      <c r="F18" s="13" t="s">
        <v>70</v>
      </c>
      <c r="G18" s="27">
        <v>2</v>
      </c>
      <c r="H18" s="27">
        <v>2</v>
      </c>
      <c r="I18" s="27">
        <v>0</v>
      </c>
      <c r="J18" s="15"/>
    </row>
    <row r="19" spans="1:10" s="44" customFormat="1" ht="12.75" x14ac:dyDescent="0.2">
      <c r="A19" s="30">
        <v>45904</v>
      </c>
      <c r="B19" s="26" t="s">
        <v>50</v>
      </c>
      <c r="C19" s="12" t="s">
        <v>15</v>
      </c>
      <c r="D19" s="26" t="s">
        <v>91</v>
      </c>
      <c r="E19" s="13" t="s">
        <v>59</v>
      </c>
      <c r="F19" s="13" t="s">
        <v>70</v>
      </c>
      <c r="G19" s="27">
        <v>2</v>
      </c>
      <c r="H19" s="27">
        <v>2</v>
      </c>
      <c r="I19" s="27">
        <v>0</v>
      </c>
      <c r="J19" s="15"/>
    </row>
    <row r="20" spans="1:10" s="44" customFormat="1" ht="12.75" x14ac:dyDescent="0.2">
      <c r="A20" s="30">
        <v>45904</v>
      </c>
      <c r="B20" s="26" t="s">
        <v>50</v>
      </c>
      <c r="C20" s="12" t="s">
        <v>15</v>
      </c>
      <c r="D20" s="26" t="s">
        <v>93</v>
      </c>
      <c r="E20" s="13" t="s">
        <v>53</v>
      </c>
      <c r="F20" s="13" t="s">
        <v>70</v>
      </c>
      <c r="G20" s="27">
        <v>2</v>
      </c>
      <c r="H20" s="27">
        <v>2</v>
      </c>
      <c r="I20" s="27">
        <v>0</v>
      </c>
      <c r="J20" s="15" t="s">
        <v>94</v>
      </c>
    </row>
    <row r="21" spans="1:10" s="44" customFormat="1" ht="12.75" x14ac:dyDescent="0.2">
      <c r="A21" s="30">
        <v>45904</v>
      </c>
      <c r="B21" s="26" t="s">
        <v>50</v>
      </c>
      <c r="C21" s="12" t="s">
        <v>15</v>
      </c>
      <c r="D21" s="26" t="s">
        <v>85</v>
      </c>
      <c r="E21" s="13" t="s">
        <v>61</v>
      </c>
      <c r="F21" s="13" t="s">
        <v>41</v>
      </c>
      <c r="G21" s="27">
        <v>1</v>
      </c>
      <c r="H21" s="27">
        <v>1</v>
      </c>
      <c r="I21" s="27">
        <v>0</v>
      </c>
      <c r="J21" s="15"/>
    </row>
    <row r="22" spans="1:10" s="44" customFormat="1" ht="12.75" x14ac:dyDescent="0.2">
      <c r="A22" s="30">
        <v>45904</v>
      </c>
      <c r="B22" s="26" t="s">
        <v>50</v>
      </c>
      <c r="C22" s="12" t="s">
        <v>15</v>
      </c>
      <c r="D22" s="26" t="s">
        <v>95</v>
      </c>
      <c r="E22" s="13" t="s">
        <v>53</v>
      </c>
      <c r="F22" s="13" t="s">
        <v>70</v>
      </c>
      <c r="G22" s="27">
        <v>3</v>
      </c>
      <c r="H22" s="27">
        <v>3</v>
      </c>
      <c r="I22" s="27">
        <v>0</v>
      </c>
      <c r="J22" s="15"/>
    </row>
    <row r="23" spans="1:10" s="44" customFormat="1" ht="12.75" x14ac:dyDescent="0.2">
      <c r="A23" s="30">
        <v>45905</v>
      </c>
      <c r="B23" s="26" t="s">
        <v>50</v>
      </c>
      <c r="C23" s="12" t="s">
        <v>15</v>
      </c>
      <c r="D23" s="26" t="s">
        <v>91</v>
      </c>
      <c r="E23" s="13" t="s">
        <v>59</v>
      </c>
      <c r="F23" s="13" t="s">
        <v>70</v>
      </c>
      <c r="G23" s="27">
        <v>3</v>
      </c>
      <c r="H23" s="27">
        <v>2</v>
      </c>
      <c r="I23" s="27">
        <v>0</v>
      </c>
      <c r="J23" s="15"/>
    </row>
    <row r="24" spans="1:10" s="44" customFormat="1" ht="12.75" x14ac:dyDescent="0.2">
      <c r="A24" s="30">
        <v>45905</v>
      </c>
      <c r="B24" s="26" t="s">
        <v>50</v>
      </c>
      <c r="C24" s="12" t="s">
        <v>15</v>
      </c>
      <c r="D24" s="26" t="s">
        <v>95</v>
      </c>
      <c r="E24" s="13" t="s">
        <v>53</v>
      </c>
      <c r="F24" s="13" t="s">
        <v>70</v>
      </c>
      <c r="G24" s="27">
        <v>1</v>
      </c>
      <c r="H24" s="27">
        <v>1</v>
      </c>
      <c r="I24" s="27">
        <v>0</v>
      </c>
      <c r="J24" s="15"/>
    </row>
    <row r="25" spans="1:10" s="44" customFormat="1" ht="12.75" x14ac:dyDescent="0.2">
      <c r="A25" s="30">
        <v>45905</v>
      </c>
      <c r="B25" s="26" t="s">
        <v>50</v>
      </c>
      <c r="C25" s="12" t="s">
        <v>15</v>
      </c>
      <c r="D25" s="26" t="s">
        <v>85</v>
      </c>
      <c r="E25" s="13" t="s">
        <v>61</v>
      </c>
      <c r="F25" s="13" t="s">
        <v>41</v>
      </c>
      <c r="G25" s="27">
        <v>1</v>
      </c>
      <c r="H25" s="27">
        <v>1</v>
      </c>
      <c r="I25" s="27">
        <v>0</v>
      </c>
      <c r="J25" s="15"/>
    </row>
    <row r="26" spans="1:10" s="44" customFormat="1" ht="12.75" x14ac:dyDescent="0.2">
      <c r="A26" s="30">
        <v>45905</v>
      </c>
      <c r="B26" s="26" t="s">
        <v>50</v>
      </c>
      <c r="C26" s="12" t="s">
        <v>15</v>
      </c>
      <c r="D26" s="26" t="s">
        <v>95</v>
      </c>
      <c r="E26" s="13" t="s">
        <v>53</v>
      </c>
      <c r="F26" s="13" t="s">
        <v>70</v>
      </c>
      <c r="G26" s="27">
        <v>3</v>
      </c>
      <c r="H26" s="27">
        <v>4</v>
      </c>
      <c r="I26" s="27">
        <v>1</v>
      </c>
      <c r="J26" s="15"/>
    </row>
    <row r="27" spans="1:10" ht="12.75" x14ac:dyDescent="0.2">
      <c r="A27" s="18"/>
      <c r="B27" s="20"/>
      <c r="C27" s="20"/>
      <c r="D27" s="20"/>
      <c r="E27" s="20" t="s">
        <v>16</v>
      </c>
      <c r="F27" s="20"/>
      <c r="G27" s="23">
        <f>SUM(G5:G26)</f>
        <v>41</v>
      </c>
      <c r="H27" s="23">
        <f>SUM(H5:H26)</f>
        <v>40</v>
      </c>
      <c r="I27" s="23">
        <f t="shared" si="0"/>
        <v>-1</v>
      </c>
      <c r="J27" s="20"/>
    </row>
    <row r="28" spans="1:10" ht="18.75" customHeight="1" x14ac:dyDescent="0.2">
      <c r="A28" s="75" t="s">
        <v>17</v>
      </c>
      <c r="B28" s="60"/>
      <c r="C28" s="60"/>
      <c r="D28" s="60"/>
      <c r="E28" s="60"/>
      <c r="F28" s="60"/>
      <c r="G28" s="60"/>
      <c r="H28" s="60"/>
      <c r="I28" s="60"/>
      <c r="J28" s="60"/>
    </row>
    <row r="29" spans="1:10" ht="12.75" x14ac:dyDescent="0.2">
      <c r="A29" s="43" t="s">
        <v>11</v>
      </c>
      <c r="B29" s="69" t="s">
        <v>12</v>
      </c>
      <c r="C29" s="56"/>
      <c r="D29" s="56"/>
      <c r="E29" s="56"/>
      <c r="F29" s="56"/>
      <c r="G29" s="56"/>
      <c r="H29" s="56"/>
      <c r="I29" s="56"/>
      <c r="J29" s="57"/>
    </row>
    <row r="30" spans="1:10" ht="27.75" customHeight="1" x14ac:dyDescent="0.2">
      <c r="A30" s="24" t="s">
        <v>13</v>
      </c>
      <c r="B30" s="69" t="s">
        <v>18</v>
      </c>
      <c r="C30" s="56"/>
      <c r="D30" s="56"/>
      <c r="E30" s="56"/>
      <c r="F30" s="56"/>
      <c r="G30" s="56"/>
      <c r="H30" s="56"/>
      <c r="I30" s="56"/>
      <c r="J30" s="57"/>
    </row>
    <row r="31" spans="1:10" ht="12.75" x14ac:dyDescent="0.2">
      <c r="A31" s="25">
        <v>45908</v>
      </c>
      <c r="B31" s="26" t="s">
        <v>50</v>
      </c>
      <c r="C31" s="12" t="s">
        <v>15</v>
      </c>
      <c r="D31" s="26" t="s">
        <v>96</v>
      </c>
      <c r="E31" s="13" t="s">
        <v>59</v>
      </c>
      <c r="F31" s="13" t="s">
        <v>74</v>
      </c>
      <c r="G31" s="27">
        <v>4</v>
      </c>
      <c r="H31" s="27">
        <v>4</v>
      </c>
      <c r="I31" s="27">
        <f t="shared" ref="I31:I53" si="1">H31-G31</f>
        <v>0</v>
      </c>
      <c r="J31" s="26" t="s">
        <v>97</v>
      </c>
    </row>
    <row r="32" spans="1:10" ht="12.75" x14ac:dyDescent="0.2">
      <c r="A32" s="25">
        <v>45908</v>
      </c>
      <c r="B32" s="26" t="s">
        <v>50</v>
      </c>
      <c r="C32" s="12" t="s">
        <v>15</v>
      </c>
      <c r="D32" s="26" t="s">
        <v>85</v>
      </c>
      <c r="E32" s="13" t="s">
        <v>61</v>
      </c>
      <c r="F32" s="13" t="s">
        <v>41</v>
      </c>
      <c r="G32" s="27">
        <v>1</v>
      </c>
      <c r="H32" s="27">
        <v>1</v>
      </c>
      <c r="I32" s="27">
        <f t="shared" si="1"/>
        <v>0</v>
      </c>
      <c r="J32" s="26"/>
    </row>
    <row r="33" spans="1:10" ht="12.75" x14ac:dyDescent="0.2">
      <c r="A33" s="25">
        <v>45908</v>
      </c>
      <c r="B33" s="26" t="s">
        <v>50</v>
      </c>
      <c r="C33" s="12" t="s">
        <v>15</v>
      </c>
      <c r="D33" s="26" t="s">
        <v>98</v>
      </c>
      <c r="E33" s="13" t="s">
        <v>59</v>
      </c>
      <c r="F33" s="13" t="s">
        <v>74</v>
      </c>
      <c r="G33" s="27">
        <v>3</v>
      </c>
      <c r="H33" s="27">
        <v>3</v>
      </c>
      <c r="I33" s="27">
        <f t="shared" si="1"/>
        <v>0</v>
      </c>
      <c r="J33" s="26" t="s">
        <v>100</v>
      </c>
    </row>
    <row r="34" spans="1:10" ht="12.75" x14ac:dyDescent="0.2">
      <c r="A34" s="25">
        <v>45908</v>
      </c>
      <c r="B34" s="26" t="s">
        <v>50</v>
      </c>
      <c r="C34" s="12" t="s">
        <v>15</v>
      </c>
      <c r="D34" s="26" t="s">
        <v>99</v>
      </c>
      <c r="E34" s="13" t="s">
        <v>53</v>
      </c>
      <c r="F34" s="13" t="s">
        <v>74</v>
      </c>
      <c r="G34" s="27">
        <v>1</v>
      </c>
      <c r="H34" s="27">
        <v>1</v>
      </c>
      <c r="I34" s="27">
        <f t="shared" si="1"/>
        <v>0</v>
      </c>
      <c r="J34" s="26"/>
    </row>
    <row r="35" spans="1:10" ht="12.75" x14ac:dyDescent="0.2">
      <c r="A35" s="25">
        <v>45909</v>
      </c>
      <c r="B35" s="26" t="s">
        <v>50</v>
      </c>
      <c r="C35" s="12" t="s">
        <v>15</v>
      </c>
      <c r="D35" s="26" t="s">
        <v>91</v>
      </c>
      <c r="E35" s="13" t="s">
        <v>59</v>
      </c>
      <c r="F35" s="13" t="s">
        <v>70</v>
      </c>
      <c r="G35" s="27">
        <v>2</v>
      </c>
      <c r="H35" s="27">
        <v>2</v>
      </c>
      <c r="I35" s="27">
        <f t="shared" si="1"/>
        <v>0</v>
      </c>
      <c r="J35" s="26"/>
    </row>
    <row r="36" spans="1:10" ht="12.75" x14ac:dyDescent="0.2">
      <c r="A36" s="25">
        <v>45909</v>
      </c>
      <c r="B36" s="26" t="s">
        <v>50</v>
      </c>
      <c r="C36" s="12" t="s">
        <v>15</v>
      </c>
      <c r="D36" s="26" t="s">
        <v>101</v>
      </c>
      <c r="E36" s="13" t="s">
        <v>59</v>
      </c>
      <c r="F36" s="13" t="s">
        <v>74</v>
      </c>
      <c r="G36" s="27">
        <v>2</v>
      </c>
      <c r="H36" s="27">
        <v>2</v>
      </c>
      <c r="I36" s="27">
        <f t="shared" si="1"/>
        <v>0</v>
      </c>
      <c r="J36" s="26" t="s">
        <v>102</v>
      </c>
    </row>
    <row r="37" spans="1:10" ht="12.75" x14ac:dyDescent="0.2">
      <c r="A37" s="25">
        <v>45909</v>
      </c>
      <c r="B37" s="26" t="s">
        <v>50</v>
      </c>
      <c r="C37" s="12" t="s">
        <v>15</v>
      </c>
      <c r="D37" s="26" t="s">
        <v>85</v>
      </c>
      <c r="E37" s="13" t="s">
        <v>61</v>
      </c>
      <c r="F37" s="13" t="s">
        <v>41</v>
      </c>
      <c r="G37" s="27">
        <v>1</v>
      </c>
      <c r="H37" s="27">
        <v>1</v>
      </c>
      <c r="I37" s="27">
        <f t="shared" si="1"/>
        <v>0</v>
      </c>
      <c r="J37" s="26"/>
    </row>
    <row r="38" spans="1:10" ht="12.75" x14ac:dyDescent="0.2">
      <c r="A38" s="25">
        <v>45909</v>
      </c>
      <c r="B38" s="26" t="s">
        <v>50</v>
      </c>
      <c r="C38" s="12" t="s">
        <v>15</v>
      </c>
      <c r="D38" s="26" t="s">
        <v>101</v>
      </c>
      <c r="E38" s="13" t="s">
        <v>59</v>
      </c>
      <c r="F38" s="13" t="s">
        <v>74</v>
      </c>
      <c r="G38" s="27">
        <v>2</v>
      </c>
      <c r="H38" s="27">
        <v>2</v>
      </c>
      <c r="I38" s="27">
        <f t="shared" si="1"/>
        <v>0</v>
      </c>
      <c r="J38" s="26"/>
    </row>
    <row r="39" spans="1:10" ht="12.75" x14ac:dyDescent="0.2">
      <c r="A39" s="25">
        <v>45909</v>
      </c>
      <c r="B39" s="26" t="s">
        <v>50</v>
      </c>
      <c r="C39" s="12" t="s">
        <v>15</v>
      </c>
      <c r="D39" s="26" t="s">
        <v>103</v>
      </c>
      <c r="E39" s="13" t="s">
        <v>53</v>
      </c>
      <c r="F39" s="13" t="s">
        <v>74</v>
      </c>
      <c r="G39" s="27">
        <v>2</v>
      </c>
      <c r="H39" s="27">
        <v>2</v>
      </c>
      <c r="I39" s="27">
        <f t="shared" si="1"/>
        <v>0</v>
      </c>
      <c r="J39" s="26"/>
    </row>
    <row r="40" spans="1:10" ht="12.75" x14ac:dyDescent="0.2">
      <c r="A40" s="25">
        <v>45910</v>
      </c>
      <c r="B40" s="26" t="s">
        <v>50</v>
      </c>
      <c r="C40" s="12" t="s">
        <v>15</v>
      </c>
      <c r="D40" s="26" t="s">
        <v>103</v>
      </c>
      <c r="E40" s="13" t="s">
        <v>53</v>
      </c>
      <c r="F40" s="13" t="s">
        <v>74</v>
      </c>
      <c r="G40" s="27">
        <v>2</v>
      </c>
      <c r="H40" s="27">
        <v>2</v>
      </c>
      <c r="I40" s="27">
        <f t="shared" si="1"/>
        <v>0</v>
      </c>
      <c r="J40" s="26"/>
    </row>
    <row r="41" spans="1:10" s="44" customFormat="1" ht="12.75" x14ac:dyDescent="0.2">
      <c r="A41" s="25">
        <v>45910</v>
      </c>
      <c r="B41" s="26" t="s">
        <v>50</v>
      </c>
      <c r="C41" s="12" t="s">
        <v>15</v>
      </c>
      <c r="D41" s="26" t="s">
        <v>104</v>
      </c>
      <c r="E41" s="13" t="s">
        <v>59</v>
      </c>
      <c r="F41" s="13" t="s">
        <v>74</v>
      </c>
      <c r="G41" s="27">
        <v>2</v>
      </c>
      <c r="H41" s="27">
        <v>2</v>
      </c>
      <c r="I41" s="27">
        <f t="shared" si="1"/>
        <v>0</v>
      </c>
      <c r="J41" s="26"/>
    </row>
    <row r="42" spans="1:10" s="44" customFormat="1" ht="12.75" x14ac:dyDescent="0.2">
      <c r="A42" s="25">
        <v>45910</v>
      </c>
      <c r="B42" s="26" t="s">
        <v>50</v>
      </c>
      <c r="C42" s="12" t="s">
        <v>15</v>
      </c>
      <c r="D42" s="26" t="s">
        <v>85</v>
      </c>
      <c r="E42" s="13" t="s">
        <v>61</v>
      </c>
      <c r="F42" s="13" t="s">
        <v>41</v>
      </c>
      <c r="G42" s="27">
        <v>1</v>
      </c>
      <c r="H42" s="27">
        <v>1</v>
      </c>
      <c r="I42" s="27">
        <f t="shared" si="1"/>
        <v>0</v>
      </c>
      <c r="J42" s="26"/>
    </row>
    <row r="43" spans="1:10" s="44" customFormat="1" ht="12.75" x14ac:dyDescent="0.2">
      <c r="A43" s="25">
        <v>45910</v>
      </c>
      <c r="B43" s="26" t="s">
        <v>50</v>
      </c>
      <c r="C43" s="12" t="s">
        <v>15</v>
      </c>
      <c r="D43" s="26" t="s">
        <v>104</v>
      </c>
      <c r="E43" s="13" t="s">
        <v>59</v>
      </c>
      <c r="F43" s="13" t="s">
        <v>74</v>
      </c>
      <c r="G43" s="27">
        <v>2</v>
      </c>
      <c r="H43" s="27">
        <v>2</v>
      </c>
      <c r="I43" s="27">
        <f t="shared" si="1"/>
        <v>0</v>
      </c>
      <c r="J43" s="26"/>
    </row>
    <row r="44" spans="1:10" s="44" customFormat="1" ht="12.75" x14ac:dyDescent="0.2">
      <c r="A44" s="25">
        <v>45910</v>
      </c>
      <c r="B44" s="26" t="s">
        <v>50</v>
      </c>
      <c r="C44" s="12" t="s">
        <v>15</v>
      </c>
      <c r="D44" s="26" t="s">
        <v>105</v>
      </c>
      <c r="E44" s="13" t="s">
        <v>53</v>
      </c>
      <c r="F44" s="13" t="s">
        <v>74</v>
      </c>
      <c r="G44" s="27">
        <v>2</v>
      </c>
      <c r="H44" s="27">
        <v>2</v>
      </c>
      <c r="I44" s="27">
        <f t="shared" si="1"/>
        <v>0</v>
      </c>
      <c r="J44" s="26"/>
    </row>
    <row r="45" spans="1:10" s="44" customFormat="1" ht="12.75" x14ac:dyDescent="0.2">
      <c r="A45" s="25">
        <v>45911</v>
      </c>
      <c r="B45" s="26" t="s">
        <v>50</v>
      </c>
      <c r="C45" s="12" t="s">
        <v>15</v>
      </c>
      <c r="D45" s="26" t="s">
        <v>106</v>
      </c>
      <c r="E45" s="13" t="s">
        <v>53</v>
      </c>
      <c r="F45" s="13" t="s">
        <v>74</v>
      </c>
      <c r="G45" s="27">
        <v>2</v>
      </c>
      <c r="H45" s="27">
        <v>2</v>
      </c>
      <c r="I45" s="27">
        <f t="shared" si="1"/>
        <v>0</v>
      </c>
      <c r="J45" s="26"/>
    </row>
    <row r="46" spans="1:10" s="44" customFormat="1" ht="12.75" x14ac:dyDescent="0.2">
      <c r="A46" s="25">
        <v>45911</v>
      </c>
      <c r="B46" s="26" t="s">
        <v>50</v>
      </c>
      <c r="C46" s="12" t="s">
        <v>15</v>
      </c>
      <c r="D46" s="26" t="s">
        <v>107</v>
      </c>
      <c r="E46" s="13" t="s">
        <v>53</v>
      </c>
      <c r="F46" s="13" t="s">
        <v>73</v>
      </c>
      <c r="G46" s="27">
        <v>2</v>
      </c>
      <c r="H46" s="27">
        <v>2</v>
      </c>
      <c r="I46" s="27">
        <f t="shared" si="1"/>
        <v>0</v>
      </c>
      <c r="J46" s="26"/>
    </row>
    <row r="47" spans="1:10" s="44" customFormat="1" ht="12.75" x14ac:dyDescent="0.2">
      <c r="A47" s="25">
        <v>45911</v>
      </c>
      <c r="B47" s="26" t="s">
        <v>50</v>
      </c>
      <c r="C47" s="12" t="s">
        <v>15</v>
      </c>
      <c r="D47" s="26" t="s">
        <v>85</v>
      </c>
      <c r="E47" s="13" t="s">
        <v>61</v>
      </c>
      <c r="F47" s="13" t="s">
        <v>41</v>
      </c>
      <c r="G47" s="27">
        <v>1</v>
      </c>
      <c r="H47" s="27">
        <v>1</v>
      </c>
      <c r="I47" s="27">
        <f t="shared" si="1"/>
        <v>0</v>
      </c>
      <c r="J47" s="26"/>
    </row>
    <row r="48" spans="1:10" s="44" customFormat="1" ht="12.75" x14ac:dyDescent="0.2">
      <c r="A48" s="25">
        <v>45911</v>
      </c>
      <c r="B48" s="26" t="s">
        <v>50</v>
      </c>
      <c r="C48" s="12" t="s">
        <v>15</v>
      </c>
      <c r="D48" s="26" t="s">
        <v>108</v>
      </c>
      <c r="E48" s="13" t="s">
        <v>53</v>
      </c>
      <c r="F48" s="13" t="s">
        <v>73</v>
      </c>
      <c r="G48" s="27">
        <v>4</v>
      </c>
      <c r="H48" s="27">
        <v>4</v>
      </c>
      <c r="I48" s="27">
        <f t="shared" si="1"/>
        <v>0</v>
      </c>
      <c r="J48" s="26"/>
    </row>
    <row r="49" spans="1:10" s="44" customFormat="1" ht="12.75" x14ac:dyDescent="0.2">
      <c r="A49" s="25">
        <v>45912</v>
      </c>
      <c r="B49" s="26" t="s">
        <v>50</v>
      </c>
      <c r="C49" s="12" t="s">
        <v>15</v>
      </c>
      <c r="D49" s="26" t="s">
        <v>108</v>
      </c>
      <c r="E49" s="13" t="s">
        <v>53</v>
      </c>
      <c r="F49" s="13" t="s">
        <v>73</v>
      </c>
      <c r="G49" s="27">
        <v>2</v>
      </c>
      <c r="H49" s="27">
        <v>2</v>
      </c>
      <c r="I49" s="27">
        <f t="shared" si="1"/>
        <v>0</v>
      </c>
      <c r="J49" s="26"/>
    </row>
    <row r="50" spans="1:10" s="44" customFormat="1" ht="12.75" x14ac:dyDescent="0.2">
      <c r="A50" s="25">
        <v>45912</v>
      </c>
      <c r="B50" s="26" t="s">
        <v>50</v>
      </c>
      <c r="C50" s="12" t="s">
        <v>15</v>
      </c>
      <c r="D50" s="26" t="s">
        <v>106</v>
      </c>
      <c r="E50" s="13" t="s">
        <v>53</v>
      </c>
      <c r="F50" s="13" t="s">
        <v>73</v>
      </c>
      <c r="G50" s="27">
        <v>2</v>
      </c>
      <c r="H50" s="27">
        <v>2</v>
      </c>
      <c r="I50" s="27">
        <f t="shared" si="1"/>
        <v>0</v>
      </c>
      <c r="J50" s="26" t="s">
        <v>109</v>
      </c>
    </row>
    <row r="51" spans="1:10" s="44" customFormat="1" ht="12.75" x14ac:dyDescent="0.2">
      <c r="A51" s="25">
        <v>45912</v>
      </c>
      <c r="B51" s="26" t="s">
        <v>50</v>
      </c>
      <c r="C51" s="12" t="s">
        <v>15</v>
      </c>
      <c r="D51" s="26" t="s">
        <v>85</v>
      </c>
      <c r="E51" s="13" t="s">
        <v>61</v>
      </c>
      <c r="F51" s="13" t="s">
        <v>41</v>
      </c>
      <c r="G51" s="27">
        <v>1</v>
      </c>
      <c r="H51" s="27">
        <v>1</v>
      </c>
      <c r="I51" s="27">
        <f t="shared" si="1"/>
        <v>0</v>
      </c>
      <c r="J51" s="26"/>
    </row>
    <row r="52" spans="1:10" s="44" customFormat="1" ht="12.75" x14ac:dyDescent="0.2">
      <c r="A52" s="25">
        <v>45912</v>
      </c>
      <c r="B52" s="26" t="s">
        <v>50</v>
      </c>
      <c r="C52" s="12" t="s">
        <v>15</v>
      </c>
      <c r="D52" s="26" t="s">
        <v>110</v>
      </c>
      <c r="E52" s="13" t="s">
        <v>53</v>
      </c>
      <c r="F52" s="13" t="s">
        <v>73</v>
      </c>
      <c r="G52" s="27">
        <v>4</v>
      </c>
      <c r="H52" s="27">
        <v>4</v>
      </c>
      <c r="I52" s="27">
        <f t="shared" si="1"/>
        <v>0</v>
      </c>
      <c r="J52" s="26" t="s">
        <v>111</v>
      </c>
    </row>
    <row r="53" spans="1:10" ht="12.75" x14ac:dyDescent="0.2">
      <c r="A53" s="18"/>
      <c r="B53" s="20"/>
      <c r="C53" s="20"/>
      <c r="D53" s="20"/>
      <c r="E53" s="20" t="s">
        <v>16</v>
      </c>
      <c r="F53" s="20"/>
      <c r="G53" s="23">
        <f>SUM(G29:G52)</f>
        <v>45</v>
      </c>
      <c r="H53" s="23">
        <f>SUM(H29:H52)</f>
        <v>45</v>
      </c>
      <c r="I53" s="23">
        <f t="shared" si="1"/>
        <v>0</v>
      </c>
      <c r="J53" s="20"/>
    </row>
    <row r="54" spans="1:10" ht="18.75" customHeight="1" x14ac:dyDescent="0.2">
      <c r="A54" s="70" t="s">
        <v>19</v>
      </c>
      <c r="B54" s="56"/>
      <c r="C54" s="56"/>
      <c r="D54" s="56"/>
      <c r="E54" s="56"/>
      <c r="F54" s="56"/>
      <c r="G54" s="56"/>
      <c r="H54" s="56"/>
      <c r="I54" s="56"/>
      <c r="J54" s="57"/>
    </row>
    <row r="55" spans="1:10" ht="12.75" x14ac:dyDescent="0.2">
      <c r="A55" s="28" t="s">
        <v>11</v>
      </c>
      <c r="B55" s="71" t="s">
        <v>12</v>
      </c>
      <c r="C55" s="56"/>
      <c r="D55" s="56"/>
      <c r="E55" s="56"/>
      <c r="F55" s="56"/>
      <c r="G55" s="56"/>
      <c r="H55" s="56"/>
      <c r="I55" s="56"/>
      <c r="J55" s="57"/>
    </row>
    <row r="56" spans="1:10" ht="27.75" customHeight="1" x14ac:dyDescent="0.2">
      <c r="A56" s="29" t="s">
        <v>13</v>
      </c>
      <c r="B56" s="71" t="s">
        <v>14</v>
      </c>
      <c r="C56" s="56"/>
      <c r="D56" s="56"/>
      <c r="E56" s="56"/>
      <c r="F56" s="56"/>
      <c r="G56" s="56"/>
      <c r="H56" s="56"/>
      <c r="I56" s="56"/>
      <c r="J56" s="57"/>
    </row>
    <row r="57" spans="1:10" ht="12.75" x14ac:dyDescent="0.2">
      <c r="A57" s="30">
        <v>45915</v>
      </c>
      <c r="B57" s="26" t="s">
        <v>50</v>
      </c>
      <c r="C57" s="12" t="s">
        <v>15</v>
      </c>
      <c r="D57" s="26" t="s">
        <v>112</v>
      </c>
      <c r="E57" s="13" t="s">
        <v>53</v>
      </c>
      <c r="F57" s="13" t="s">
        <v>73</v>
      </c>
      <c r="G57" s="27">
        <v>2</v>
      </c>
      <c r="H57" s="27">
        <v>2</v>
      </c>
      <c r="I57" s="27">
        <f t="shared" ref="I57:I78" si="2">H57-G57</f>
        <v>0</v>
      </c>
      <c r="J57" s="26"/>
    </row>
    <row r="58" spans="1:10" ht="12.75" x14ac:dyDescent="0.2">
      <c r="A58" s="30">
        <v>45915</v>
      </c>
      <c r="B58" s="26" t="s">
        <v>50</v>
      </c>
      <c r="C58" s="12" t="s">
        <v>15</v>
      </c>
      <c r="D58" s="26" t="s">
        <v>113</v>
      </c>
      <c r="E58" s="13" t="s">
        <v>53</v>
      </c>
      <c r="F58" s="13" t="s">
        <v>73</v>
      </c>
      <c r="G58" s="27">
        <v>2</v>
      </c>
      <c r="H58" s="27">
        <v>2</v>
      </c>
      <c r="I58" s="27">
        <f t="shared" si="2"/>
        <v>0</v>
      </c>
      <c r="J58" s="26"/>
    </row>
    <row r="59" spans="1:10" ht="12.75" x14ac:dyDescent="0.2">
      <c r="A59" s="30">
        <v>45915</v>
      </c>
      <c r="B59" s="26" t="s">
        <v>50</v>
      </c>
      <c r="C59" s="12" t="s">
        <v>15</v>
      </c>
      <c r="D59" s="26" t="s">
        <v>85</v>
      </c>
      <c r="E59" s="13" t="s">
        <v>61</v>
      </c>
      <c r="F59" s="13" t="s">
        <v>41</v>
      </c>
      <c r="G59" s="27">
        <v>1</v>
      </c>
      <c r="H59" s="27">
        <v>1</v>
      </c>
      <c r="I59" s="27">
        <f t="shared" si="2"/>
        <v>0</v>
      </c>
      <c r="J59" s="26"/>
    </row>
    <row r="60" spans="1:10" ht="12.75" x14ac:dyDescent="0.2">
      <c r="A60" s="30">
        <v>45915</v>
      </c>
      <c r="B60" s="26" t="s">
        <v>50</v>
      </c>
      <c r="C60" s="12" t="s">
        <v>15</v>
      </c>
      <c r="D60" s="26" t="s">
        <v>113</v>
      </c>
      <c r="E60" s="13" t="s">
        <v>53</v>
      </c>
      <c r="F60" s="13" t="s">
        <v>73</v>
      </c>
      <c r="G60" s="27">
        <v>2</v>
      </c>
      <c r="H60" s="27">
        <v>1</v>
      </c>
      <c r="I60" s="79">
        <f t="shared" si="2"/>
        <v>-1</v>
      </c>
      <c r="J60" s="26"/>
    </row>
    <row r="61" spans="1:10" ht="12.75" x14ac:dyDescent="0.2">
      <c r="A61" s="30">
        <v>45915</v>
      </c>
      <c r="B61" s="26" t="s">
        <v>50</v>
      </c>
      <c r="C61" s="12" t="s">
        <v>15</v>
      </c>
      <c r="D61" s="26" t="s">
        <v>112</v>
      </c>
      <c r="E61" s="13" t="s">
        <v>53</v>
      </c>
      <c r="F61" s="13" t="s">
        <v>73</v>
      </c>
      <c r="G61" s="27">
        <v>1</v>
      </c>
      <c r="H61" s="27">
        <v>1</v>
      </c>
      <c r="I61" s="27">
        <f t="shared" si="2"/>
        <v>0</v>
      </c>
      <c r="J61" s="26"/>
    </row>
    <row r="62" spans="1:10" ht="12.75" x14ac:dyDescent="0.2">
      <c r="A62" s="30">
        <v>45916</v>
      </c>
      <c r="B62" s="26" t="s">
        <v>50</v>
      </c>
      <c r="C62" s="12" t="s">
        <v>15</v>
      </c>
      <c r="D62" s="26" t="s">
        <v>114</v>
      </c>
      <c r="E62" s="13" t="s">
        <v>45</v>
      </c>
      <c r="F62" s="13" t="s">
        <v>73</v>
      </c>
      <c r="G62" s="27">
        <v>2</v>
      </c>
      <c r="H62" s="27">
        <v>2</v>
      </c>
      <c r="I62" s="27">
        <f t="shared" si="2"/>
        <v>0</v>
      </c>
      <c r="J62" s="26" t="s">
        <v>115</v>
      </c>
    </row>
    <row r="63" spans="1:10" ht="12.75" x14ac:dyDescent="0.2">
      <c r="A63" s="30">
        <v>45916</v>
      </c>
      <c r="B63" s="26" t="s">
        <v>50</v>
      </c>
      <c r="C63" s="12" t="s">
        <v>15</v>
      </c>
      <c r="D63" s="26" t="s">
        <v>116</v>
      </c>
      <c r="E63" s="13" t="s">
        <v>45</v>
      </c>
      <c r="F63" s="13" t="s">
        <v>340</v>
      </c>
      <c r="G63" s="27">
        <v>1</v>
      </c>
      <c r="H63" s="27">
        <v>1</v>
      </c>
      <c r="I63" s="27">
        <f t="shared" si="2"/>
        <v>0</v>
      </c>
      <c r="J63" s="26"/>
    </row>
    <row r="64" spans="1:10" ht="12.75" x14ac:dyDescent="0.2">
      <c r="A64" s="30">
        <v>45916</v>
      </c>
      <c r="B64" s="26" t="s">
        <v>50</v>
      </c>
      <c r="C64" s="12" t="s">
        <v>15</v>
      </c>
      <c r="D64" s="26" t="s">
        <v>85</v>
      </c>
      <c r="E64" s="13" t="s">
        <v>61</v>
      </c>
      <c r="F64" s="13" t="s">
        <v>41</v>
      </c>
      <c r="G64" s="27">
        <v>1</v>
      </c>
      <c r="H64" s="27">
        <v>1</v>
      </c>
      <c r="I64" s="27">
        <f t="shared" si="2"/>
        <v>0</v>
      </c>
      <c r="J64" s="26"/>
    </row>
    <row r="65" spans="1:10" ht="12.75" x14ac:dyDescent="0.2">
      <c r="A65" s="30">
        <v>45916</v>
      </c>
      <c r="B65" s="26" t="s">
        <v>50</v>
      </c>
      <c r="C65" s="12" t="s">
        <v>15</v>
      </c>
      <c r="D65" s="26" t="s">
        <v>114</v>
      </c>
      <c r="E65" s="13" t="s">
        <v>45</v>
      </c>
      <c r="F65" s="13" t="s">
        <v>73</v>
      </c>
      <c r="G65" s="27">
        <v>2</v>
      </c>
      <c r="H65" s="27">
        <v>2</v>
      </c>
      <c r="I65" s="27">
        <f t="shared" si="2"/>
        <v>0</v>
      </c>
      <c r="J65" s="26"/>
    </row>
    <row r="66" spans="1:10" ht="12.75" x14ac:dyDescent="0.2">
      <c r="A66" s="30">
        <v>45916</v>
      </c>
      <c r="B66" s="26" t="s">
        <v>50</v>
      </c>
      <c r="C66" s="12" t="s">
        <v>15</v>
      </c>
      <c r="D66" s="26" t="s">
        <v>113</v>
      </c>
      <c r="E66" s="13" t="s">
        <v>53</v>
      </c>
      <c r="F66" s="13" t="s">
        <v>73</v>
      </c>
      <c r="G66" s="27">
        <v>2</v>
      </c>
      <c r="H66" s="27">
        <v>2</v>
      </c>
      <c r="I66" s="27">
        <f t="shared" si="2"/>
        <v>0</v>
      </c>
      <c r="J66" s="26"/>
    </row>
    <row r="67" spans="1:10" s="46" customFormat="1" ht="12.75" x14ac:dyDescent="0.2">
      <c r="A67" s="30">
        <v>45917</v>
      </c>
      <c r="B67" s="26" t="s">
        <v>50</v>
      </c>
      <c r="C67" s="12" t="s">
        <v>15</v>
      </c>
      <c r="D67" s="26" t="s">
        <v>117</v>
      </c>
      <c r="E67" s="13" t="s">
        <v>53</v>
      </c>
      <c r="F67" s="13" t="s">
        <v>74</v>
      </c>
      <c r="G67" s="27">
        <v>4</v>
      </c>
      <c r="H67" s="27">
        <v>3</v>
      </c>
      <c r="I67" s="27">
        <f t="shared" si="2"/>
        <v>-1</v>
      </c>
      <c r="J67" s="26" t="s">
        <v>118</v>
      </c>
    </row>
    <row r="68" spans="1:10" s="46" customFormat="1" ht="12.75" x14ac:dyDescent="0.2">
      <c r="A68" s="30">
        <v>45917</v>
      </c>
      <c r="B68" s="26" t="s">
        <v>50</v>
      </c>
      <c r="C68" s="12" t="s">
        <v>15</v>
      </c>
      <c r="D68" s="26" t="s">
        <v>85</v>
      </c>
      <c r="E68" s="13" t="s">
        <v>61</v>
      </c>
      <c r="F68" s="13" t="s">
        <v>41</v>
      </c>
      <c r="G68" s="27">
        <v>1</v>
      </c>
      <c r="H68" s="27">
        <v>1</v>
      </c>
      <c r="I68" s="27">
        <f t="shared" si="2"/>
        <v>0</v>
      </c>
      <c r="J68" s="26"/>
    </row>
    <row r="69" spans="1:10" s="46" customFormat="1" ht="12.75" x14ac:dyDescent="0.2">
      <c r="A69" s="30">
        <v>45917</v>
      </c>
      <c r="B69" s="26" t="s">
        <v>50</v>
      </c>
      <c r="C69" s="12" t="s">
        <v>15</v>
      </c>
      <c r="D69" s="26" t="s">
        <v>119</v>
      </c>
      <c r="E69" s="13" t="s">
        <v>53</v>
      </c>
      <c r="F69" s="13" t="s">
        <v>73</v>
      </c>
      <c r="G69" s="27">
        <v>2</v>
      </c>
      <c r="H69" s="27">
        <v>2</v>
      </c>
      <c r="I69" s="27">
        <f t="shared" si="2"/>
        <v>0</v>
      </c>
      <c r="J69" s="26" t="s">
        <v>120</v>
      </c>
    </row>
    <row r="70" spans="1:10" s="46" customFormat="1" ht="12.75" x14ac:dyDescent="0.2">
      <c r="A70" s="30">
        <v>45917</v>
      </c>
      <c r="B70" s="26" t="s">
        <v>50</v>
      </c>
      <c r="C70" s="12" t="s">
        <v>15</v>
      </c>
      <c r="D70" s="26" t="s">
        <v>117</v>
      </c>
      <c r="E70" s="13" t="s">
        <v>53</v>
      </c>
      <c r="F70" s="13" t="s">
        <v>74</v>
      </c>
      <c r="G70" s="27">
        <v>2</v>
      </c>
      <c r="H70" s="27">
        <v>2</v>
      </c>
      <c r="I70" s="27">
        <f t="shared" si="2"/>
        <v>0</v>
      </c>
      <c r="J70" s="26"/>
    </row>
    <row r="71" spans="1:10" s="46" customFormat="1" ht="12.75" x14ac:dyDescent="0.2">
      <c r="A71" s="30">
        <v>45918</v>
      </c>
      <c r="B71" s="26" t="s">
        <v>50</v>
      </c>
      <c r="C71" s="12" t="s">
        <v>15</v>
      </c>
      <c r="D71" s="26" t="s">
        <v>113</v>
      </c>
      <c r="E71" s="13" t="s">
        <v>53</v>
      </c>
      <c r="F71" s="13" t="s">
        <v>73</v>
      </c>
      <c r="G71" s="27">
        <v>2</v>
      </c>
      <c r="H71" s="27">
        <v>2</v>
      </c>
      <c r="I71" s="27">
        <f t="shared" si="2"/>
        <v>0</v>
      </c>
      <c r="J71" s="26" t="s">
        <v>121</v>
      </c>
    </row>
    <row r="72" spans="1:10" s="46" customFormat="1" ht="12.75" x14ac:dyDescent="0.2">
      <c r="A72" s="30">
        <v>45918</v>
      </c>
      <c r="B72" s="26" t="s">
        <v>50</v>
      </c>
      <c r="C72" s="12" t="s">
        <v>15</v>
      </c>
      <c r="D72" s="26" t="s">
        <v>117</v>
      </c>
      <c r="E72" s="13" t="s">
        <v>53</v>
      </c>
      <c r="F72" s="13" t="s">
        <v>74</v>
      </c>
      <c r="G72" s="27">
        <v>2</v>
      </c>
      <c r="H72" s="27">
        <v>2</v>
      </c>
      <c r="I72" s="27">
        <f t="shared" si="2"/>
        <v>0</v>
      </c>
      <c r="J72" s="26" t="s">
        <v>122</v>
      </c>
    </row>
    <row r="73" spans="1:10" s="46" customFormat="1" ht="12.75" x14ac:dyDescent="0.2">
      <c r="A73" s="30">
        <v>45918</v>
      </c>
      <c r="B73" s="26" t="s">
        <v>50</v>
      </c>
      <c r="C73" s="12" t="s">
        <v>15</v>
      </c>
      <c r="D73" s="26" t="s">
        <v>85</v>
      </c>
      <c r="E73" s="13" t="s">
        <v>61</v>
      </c>
      <c r="F73" s="13" t="s">
        <v>41</v>
      </c>
      <c r="G73" s="27">
        <v>1</v>
      </c>
      <c r="H73" s="27">
        <v>1</v>
      </c>
      <c r="I73" s="27">
        <f t="shared" si="2"/>
        <v>0</v>
      </c>
      <c r="J73" s="26"/>
    </row>
    <row r="74" spans="1:10" s="46" customFormat="1" ht="12.75" x14ac:dyDescent="0.2">
      <c r="A74" s="30">
        <v>45918</v>
      </c>
      <c r="B74" s="26" t="s">
        <v>50</v>
      </c>
      <c r="C74" s="12" t="s">
        <v>15</v>
      </c>
      <c r="D74" s="26" t="s">
        <v>123</v>
      </c>
      <c r="E74" s="13" t="s">
        <v>53</v>
      </c>
      <c r="F74" s="13" t="s">
        <v>73</v>
      </c>
      <c r="G74" s="27">
        <v>4</v>
      </c>
      <c r="H74" s="27">
        <v>4</v>
      </c>
      <c r="I74" s="27">
        <f t="shared" si="2"/>
        <v>0</v>
      </c>
      <c r="J74" s="26" t="s">
        <v>124</v>
      </c>
    </row>
    <row r="75" spans="1:10" s="46" customFormat="1" ht="12.75" x14ac:dyDescent="0.2">
      <c r="A75" s="30">
        <v>45919</v>
      </c>
      <c r="B75" s="26" t="s">
        <v>50</v>
      </c>
      <c r="C75" s="12" t="s">
        <v>15</v>
      </c>
      <c r="D75" s="26" t="s">
        <v>113</v>
      </c>
      <c r="E75" s="13" t="s">
        <v>53</v>
      </c>
      <c r="F75" s="13" t="s">
        <v>73</v>
      </c>
      <c r="G75" s="27">
        <v>4</v>
      </c>
      <c r="H75" s="27">
        <v>3</v>
      </c>
      <c r="I75" s="27">
        <f t="shared" si="2"/>
        <v>-1</v>
      </c>
      <c r="J75" s="26" t="s">
        <v>121</v>
      </c>
    </row>
    <row r="76" spans="1:10" s="46" customFormat="1" ht="12.75" x14ac:dyDescent="0.2">
      <c r="A76" s="30">
        <v>45919</v>
      </c>
      <c r="B76" s="26" t="s">
        <v>50</v>
      </c>
      <c r="C76" s="12" t="s">
        <v>15</v>
      </c>
      <c r="D76" s="26" t="s">
        <v>85</v>
      </c>
      <c r="E76" s="13" t="s">
        <v>61</v>
      </c>
      <c r="F76" s="13" t="s">
        <v>41</v>
      </c>
      <c r="G76" s="27">
        <v>1</v>
      </c>
      <c r="H76" s="27">
        <v>1</v>
      </c>
      <c r="I76" s="27">
        <f t="shared" si="2"/>
        <v>0</v>
      </c>
      <c r="J76" s="26"/>
    </row>
    <row r="77" spans="1:10" s="46" customFormat="1" ht="12.75" x14ac:dyDescent="0.2">
      <c r="A77" s="30">
        <v>45919</v>
      </c>
      <c r="B77" s="26" t="s">
        <v>50</v>
      </c>
      <c r="C77" s="12" t="s">
        <v>15</v>
      </c>
      <c r="D77" s="26" t="s">
        <v>125</v>
      </c>
      <c r="E77" s="13" t="s">
        <v>53</v>
      </c>
      <c r="F77" s="13" t="s">
        <v>74</v>
      </c>
      <c r="G77" s="27">
        <v>4</v>
      </c>
      <c r="H77" s="27">
        <v>4</v>
      </c>
      <c r="I77" s="27">
        <f t="shared" si="2"/>
        <v>0</v>
      </c>
      <c r="J77" s="26" t="s">
        <v>126</v>
      </c>
    </row>
    <row r="78" spans="1:10" ht="12.75" x14ac:dyDescent="0.2">
      <c r="A78" s="18"/>
      <c r="B78" s="20"/>
      <c r="C78" s="20"/>
      <c r="D78" s="20"/>
      <c r="E78" s="20" t="s">
        <v>16</v>
      </c>
      <c r="F78" s="20"/>
      <c r="G78" s="23">
        <f>SUM(G57:G77)</f>
        <v>43</v>
      </c>
      <c r="H78" s="23">
        <f>SUM(H57:H77)</f>
        <v>40</v>
      </c>
      <c r="I78" s="23">
        <f t="shared" si="2"/>
        <v>-3</v>
      </c>
      <c r="J78" s="20"/>
    </row>
    <row r="79" spans="1:10" ht="18.75" customHeight="1" x14ac:dyDescent="0.2">
      <c r="A79" s="72" t="s">
        <v>20</v>
      </c>
      <c r="B79" s="56"/>
      <c r="C79" s="56"/>
      <c r="D79" s="56"/>
      <c r="E79" s="56"/>
      <c r="F79" s="56"/>
      <c r="G79" s="56"/>
      <c r="H79" s="56"/>
      <c r="I79" s="56"/>
      <c r="J79" s="57"/>
    </row>
    <row r="80" spans="1:10" ht="12.75" x14ac:dyDescent="0.2">
      <c r="A80" s="31" t="s">
        <v>11</v>
      </c>
      <c r="B80" s="66" t="s">
        <v>12</v>
      </c>
      <c r="C80" s="56"/>
      <c r="D80" s="56"/>
      <c r="E80" s="56"/>
      <c r="F80" s="56"/>
      <c r="G80" s="56"/>
      <c r="H80" s="56"/>
      <c r="I80" s="56"/>
      <c r="J80" s="57"/>
    </row>
    <row r="81" spans="1:10" ht="27.75" customHeight="1" x14ac:dyDescent="0.2">
      <c r="A81" s="32" t="s">
        <v>13</v>
      </c>
      <c r="B81" s="66" t="s">
        <v>14</v>
      </c>
      <c r="C81" s="56"/>
      <c r="D81" s="56"/>
      <c r="E81" s="56"/>
      <c r="F81" s="56"/>
      <c r="G81" s="56"/>
      <c r="H81" s="56"/>
      <c r="I81" s="56"/>
      <c r="J81" s="57"/>
    </row>
    <row r="82" spans="1:10" ht="12.75" x14ac:dyDescent="0.2">
      <c r="A82" s="30">
        <v>45922</v>
      </c>
      <c r="B82" s="26" t="s">
        <v>50</v>
      </c>
      <c r="C82" s="12" t="s">
        <v>15</v>
      </c>
      <c r="D82" s="26" t="s">
        <v>127</v>
      </c>
      <c r="E82" s="13" t="s">
        <v>53</v>
      </c>
      <c r="F82" s="13" t="s">
        <v>74</v>
      </c>
      <c r="G82" s="27">
        <v>2</v>
      </c>
      <c r="H82" s="27">
        <v>2</v>
      </c>
      <c r="I82" s="27">
        <f t="shared" ref="I82:I105" si="3">H82-G82</f>
        <v>0</v>
      </c>
      <c r="J82" s="26"/>
    </row>
    <row r="83" spans="1:10" ht="12.75" x14ac:dyDescent="0.2">
      <c r="A83" s="30">
        <v>45922</v>
      </c>
      <c r="B83" s="26" t="s">
        <v>50</v>
      </c>
      <c r="C83" s="12" t="s">
        <v>15</v>
      </c>
      <c r="D83" s="26" t="s">
        <v>128</v>
      </c>
      <c r="E83" s="13" t="s">
        <v>53</v>
      </c>
      <c r="F83" s="13" t="s">
        <v>73</v>
      </c>
      <c r="G83" s="27">
        <v>2</v>
      </c>
      <c r="H83" s="27">
        <v>2</v>
      </c>
      <c r="I83" s="27">
        <f t="shared" si="3"/>
        <v>0</v>
      </c>
      <c r="J83" s="26"/>
    </row>
    <row r="84" spans="1:10" ht="12.75" x14ac:dyDescent="0.2">
      <c r="A84" s="30">
        <v>45922</v>
      </c>
      <c r="B84" s="26" t="s">
        <v>50</v>
      </c>
      <c r="C84" s="12" t="s">
        <v>15</v>
      </c>
      <c r="D84" s="26" t="s">
        <v>85</v>
      </c>
      <c r="E84" s="13" t="s">
        <v>61</v>
      </c>
      <c r="F84" s="13" t="s">
        <v>41</v>
      </c>
      <c r="G84" s="27">
        <v>1</v>
      </c>
      <c r="H84" s="27">
        <v>1</v>
      </c>
      <c r="I84" s="27">
        <f t="shared" si="3"/>
        <v>0</v>
      </c>
      <c r="J84" s="26"/>
    </row>
    <row r="85" spans="1:10" ht="12.75" x14ac:dyDescent="0.2">
      <c r="A85" s="30">
        <v>45922</v>
      </c>
      <c r="B85" s="26" t="s">
        <v>50</v>
      </c>
      <c r="C85" s="12" t="s">
        <v>15</v>
      </c>
      <c r="D85" s="26" t="s">
        <v>129</v>
      </c>
      <c r="E85" s="13" t="s">
        <v>55</v>
      </c>
      <c r="F85" s="13" t="s">
        <v>340</v>
      </c>
      <c r="G85" s="27">
        <v>2</v>
      </c>
      <c r="H85" s="27">
        <v>2</v>
      </c>
      <c r="I85" s="27">
        <f t="shared" si="3"/>
        <v>0</v>
      </c>
      <c r="J85" s="81" t="s">
        <v>130</v>
      </c>
    </row>
    <row r="86" spans="1:10" ht="12.75" x14ac:dyDescent="0.2">
      <c r="A86" s="30">
        <v>45922</v>
      </c>
      <c r="B86" s="26" t="s">
        <v>50</v>
      </c>
      <c r="C86" s="12" t="s">
        <v>15</v>
      </c>
      <c r="D86" s="26" t="s">
        <v>131</v>
      </c>
      <c r="E86" s="13" t="s">
        <v>53</v>
      </c>
      <c r="F86" s="13" t="s">
        <v>74</v>
      </c>
      <c r="G86" s="27">
        <v>2</v>
      </c>
      <c r="H86" s="27">
        <v>2</v>
      </c>
      <c r="I86" s="27">
        <f t="shared" si="3"/>
        <v>0</v>
      </c>
      <c r="J86" s="26"/>
    </row>
    <row r="87" spans="1:10" ht="12.75" x14ac:dyDescent="0.2">
      <c r="A87" s="30">
        <v>45923</v>
      </c>
      <c r="B87" s="26" t="s">
        <v>50</v>
      </c>
      <c r="C87" s="12" t="s">
        <v>15</v>
      </c>
      <c r="D87" s="26" t="s">
        <v>132</v>
      </c>
      <c r="E87" s="13" t="s">
        <v>45</v>
      </c>
      <c r="F87" s="13" t="s">
        <v>340</v>
      </c>
      <c r="G87" s="27">
        <v>1</v>
      </c>
      <c r="H87" s="27">
        <v>1</v>
      </c>
      <c r="I87" s="27">
        <f t="shared" si="3"/>
        <v>0</v>
      </c>
      <c r="J87" s="26" t="s">
        <v>134</v>
      </c>
    </row>
    <row r="88" spans="1:10" ht="12.75" x14ac:dyDescent="0.2">
      <c r="A88" s="30">
        <v>45923</v>
      </c>
      <c r="B88" s="26" t="s">
        <v>50</v>
      </c>
      <c r="C88" s="12" t="s">
        <v>15</v>
      </c>
      <c r="D88" s="26" t="s">
        <v>133</v>
      </c>
      <c r="E88" s="13" t="s">
        <v>53</v>
      </c>
      <c r="F88" s="13" t="s">
        <v>74</v>
      </c>
      <c r="G88" s="27">
        <v>1</v>
      </c>
      <c r="H88" s="27">
        <v>1</v>
      </c>
      <c r="I88" s="27">
        <f t="shared" si="3"/>
        <v>0</v>
      </c>
      <c r="J88" s="26"/>
    </row>
    <row r="89" spans="1:10" ht="12.75" x14ac:dyDescent="0.2">
      <c r="A89" s="30">
        <v>45923</v>
      </c>
      <c r="B89" s="26" t="s">
        <v>50</v>
      </c>
      <c r="C89" s="12" t="s">
        <v>15</v>
      </c>
      <c r="D89" s="26" t="s">
        <v>116</v>
      </c>
      <c r="E89" s="13" t="s">
        <v>45</v>
      </c>
      <c r="F89" s="13" t="s">
        <v>340</v>
      </c>
      <c r="G89" s="27">
        <v>1</v>
      </c>
      <c r="H89" s="27">
        <v>1</v>
      </c>
      <c r="I89" s="27">
        <f t="shared" si="3"/>
        <v>0</v>
      </c>
      <c r="J89" s="26"/>
    </row>
    <row r="90" spans="1:10" ht="12.75" x14ac:dyDescent="0.2">
      <c r="A90" s="30">
        <v>45923</v>
      </c>
      <c r="B90" s="26" t="s">
        <v>50</v>
      </c>
      <c r="C90" s="12" t="s">
        <v>15</v>
      </c>
      <c r="D90" s="26" t="s">
        <v>85</v>
      </c>
      <c r="E90" s="13" t="s">
        <v>61</v>
      </c>
      <c r="F90" s="13" t="s">
        <v>41</v>
      </c>
      <c r="G90" s="27">
        <v>1</v>
      </c>
      <c r="H90" s="27">
        <v>1</v>
      </c>
      <c r="I90" s="27">
        <f t="shared" si="3"/>
        <v>0</v>
      </c>
      <c r="J90" s="26"/>
    </row>
    <row r="91" spans="1:10" ht="12.75" x14ac:dyDescent="0.2">
      <c r="A91" s="30">
        <v>45923</v>
      </c>
      <c r="B91" s="26" t="s">
        <v>50</v>
      </c>
      <c r="C91" s="12" t="s">
        <v>15</v>
      </c>
      <c r="D91" s="26" t="s">
        <v>135</v>
      </c>
      <c r="E91" s="13" t="s">
        <v>53</v>
      </c>
      <c r="F91" s="13" t="s">
        <v>74</v>
      </c>
      <c r="G91" s="27">
        <v>4</v>
      </c>
      <c r="H91" s="27">
        <v>3</v>
      </c>
      <c r="I91" s="27">
        <f t="shared" si="3"/>
        <v>-1</v>
      </c>
      <c r="J91" s="26" t="s">
        <v>136</v>
      </c>
    </row>
    <row r="92" spans="1:10" s="47" customFormat="1" ht="12.75" x14ac:dyDescent="0.2">
      <c r="A92" s="30">
        <v>45924</v>
      </c>
      <c r="B92" s="26" t="s">
        <v>50</v>
      </c>
      <c r="C92" s="12" t="s">
        <v>15</v>
      </c>
      <c r="D92" s="26" t="s">
        <v>135</v>
      </c>
      <c r="E92" s="13" t="s">
        <v>53</v>
      </c>
      <c r="F92" s="13" t="s">
        <v>74</v>
      </c>
      <c r="G92" s="27">
        <v>3</v>
      </c>
      <c r="H92" s="27">
        <v>3</v>
      </c>
      <c r="I92" s="27">
        <f t="shared" si="3"/>
        <v>0</v>
      </c>
      <c r="J92" s="26"/>
    </row>
    <row r="93" spans="1:10" s="47" customFormat="1" ht="12.75" x14ac:dyDescent="0.2">
      <c r="A93" s="30">
        <v>45924</v>
      </c>
      <c r="B93" s="26" t="s">
        <v>50</v>
      </c>
      <c r="C93" s="12" t="s">
        <v>15</v>
      </c>
      <c r="D93" s="26" t="s">
        <v>85</v>
      </c>
      <c r="E93" s="13" t="s">
        <v>61</v>
      </c>
      <c r="F93" s="13" t="s">
        <v>41</v>
      </c>
      <c r="G93" s="27">
        <v>1</v>
      </c>
      <c r="H93" s="27">
        <v>1</v>
      </c>
      <c r="I93" s="27">
        <f t="shared" si="3"/>
        <v>0</v>
      </c>
      <c r="J93" s="26"/>
    </row>
    <row r="94" spans="1:10" s="47" customFormat="1" ht="12.75" x14ac:dyDescent="0.2">
      <c r="A94" s="30">
        <v>45924</v>
      </c>
      <c r="B94" s="26" t="s">
        <v>50</v>
      </c>
      <c r="C94" s="12" t="s">
        <v>15</v>
      </c>
      <c r="D94" s="26" t="s">
        <v>137</v>
      </c>
      <c r="E94" s="13" t="s">
        <v>45</v>
      </c>
      <c r="F94" s="13" t="s">
        <v>340</v>
      </c>
      <c r="G94" s="27">
        <v>1</v>
      </c>
      <c r="H94" s="27">
        <v>1</v>
      </c>
      <c r="I94" s="27">
        <f t="shared" si="3"/>
        <v>0</v>
      </c>
      <c r="J94" s="26" t="s">
        <v>138</v>
      </c>
    </row>
    <row r="95" spans="1:10" s="47" customFormat="1" ht="12.75" x14ac:dyDescent="0.2">
      <c r="A95" s="30">
        <v>45924</v>
      </c>
      <c r="B95" s="26" t="s">
        <v>50</v>
      </c>
      <c r="C95" s="12" t="s">
        <v>15</v>
      </c>
      <c r="D95" s="26" t="s">
        <v>135</v>
      </c>
      <c r="E95" s="13" t="s">
        <v>53</v>
      </c>
      <c r="F95" s="13" t="s">
        <v>74</v>
      </c>
      <c r="G95" s="27">
        <v>3</v>
      </c>
      <c r="H95" s="27">
        <v>2</v>
      </c>
      <c r="I95" s="27">
        <f t="shared" si="3"/>
        <v>-1</v>
      </c>
      <c r="J95" s="26"/>
    </row>
    <row r="96" spans="1:10" s="47" customFormat="1" ht="12.75" x14ac:dyDescent="0.2">
      <c r="A96" s="30">
        <v>45925</v>
      </c>
      <c r="B96" s="26" t="s">
        <v>50</v>
      </c>
      <c r="C96" s="12" t="s">
        <v>15</v>
      </c>
      <c r="D96" s="26" t="s">
        <v>139</v>
      </c>
      <c r="E96" s="13" t="s">
        <v>53</v>
      </c>
      <c r="F96" s="13" t="s">
        <v>73</v>
      </c>
      <c r="G96" s="27">
        <v>2</v>
      </c>
      <c r="H96" s="27">
        <v>2</v>
      </c>
      <c r="I96" s="27">
        <f t="shared" si="3"/>
        <v>0</v>
      </c>
      <c r="J96" s="26"/>
    </row>
    <row r="97" spans="1:10" s="47" customFormat="1" ht="12.75" x14ac:dyDescent="0.2">
      <c r="A97" s="30">
        <v>45925</v>
      </c>
      <c r="B97" s="26" t="s">
        <v>50</v>
      </c>
      <c r="C97" s="12" t="s">
        <v>15</v>
      </c>
      <c r="D97" s="26" t="s">
        <v>135</v>
      </c>
      <c r="E97" s="13" t="s">
        <v>53</v>
      </c>
      <c r="F97" s="13" t="s">
        <v>74</v>
      </c>
      <c r="G97" s="27">
        <v>2</v>
      </c>
      <c r="H97" s="27">
        <v>2</v>
      </c>
      <c r="I97" s="27">
        <f t="shared" si="3"/>
        <v>0</v>
      </c>
      <c r="J97" s="26"/>
    </row>
    <row r="98" spans="1:10" s="47" customFormat="1" ht="12.75" x14ac:dyDescent="0.2">
      <c r="A98" s="30">
        <v>45925</v>
      </c>
      <c r="B98" s="26" t="s">
        <v>50</v>
      </c>
      <c r="C98" s="12" t="s">
        <v>15</v>
      </c>
      <c r="D98" s="26" t="s">
        <v>85</v>
      </c>
      <c r="E98" s="13" t="s">
        <v>61</v>
      </c>
      <c r="F98" s="13" t="s">
        <v>41</v>
      </c>
      <c r="G98" s="27">
        <v>1</v>
      </c>
      <c r="H98" s="27">
        <v>1</v>
      </c>
      <c r="I98" s="27">
        <f t="shared" si="3"/>
        <v>0</v>
      </c>
      <c r="J98" s="26"/>
    </row>
    <row r="99" spans="1:10" s="47" customFormat="1" ht="12.75" x14ac:dyDescent="0.2">
      <c r="A99" s="30">
        <v>45925</v>
      </c>
      <c r="B99" s="26" t="s">
        <v>50</v>
      </c>
      <c r="C99" s="12" t="s">
        <v>15</v>
      </c>
      <c r="D99" s="26" t="s">
        <v>140</v>
      </c>
      <c r="E99" s="13" t="s">
        <v>45</v>
      </c>
      <c r="F99" s="13" t="s">
        <v>340</v>
      </c>
      <c r="G99" s="27">
        <v>1</v>
      </c>
      <c r="H99" s="27">
        <v>1</v>
      </c>
      <c r="I99" s="27">
        <f t="shared" si="3"/>
        <v>0</v>
      </c>
      <c r="J99" s="26" t="s">
        <v>141</v>
      </c>
    </row>
    <row r="100" spans="1:10" s="47" customFormat="1" ht="12.75" x14ac:dyDescent="0.2">
      <c r="A100" s="30">
        <v>45925</v>
      </c>
      <c r="B100" s="26" t="s">
        <v>50</v>
      </c>
      <c r="C100" s="12" t="s">
        <v>15</v>
      </c>
      <c r="D100" s="26" t="s">
        <v>142</v>
      </c>
      <c r="E100" s="13" t="s">
        <v>53</v>
      </c>
      <c r="F100" s="13" t="s">
        <v>74</v>
      </c>
      <c r="G100" s="27">
        <v>2</v>
      </c>
      <c r="H100" s="27">
        <v>2</v>
      </c>
      <c r="I100" s="27">
        <f t="shared" si="3"/>
        <v>0</v>
      </c>
      <c r="J100" s="26" t="s">
        <v>143</v>
      </c>
    </row>
    <row r="101" spans="1:10" s="47" customFormat="1" ht="12.75" x14ac:dyDescent="0.2">
      <c r="A101" s="30">
        <v>45926</v>
      </c>
      <c r="B101" s="26" t="s">
        <v>50</v>
      </c>
      <c r="C101" s="12" t="s">
        <v>15</v>
      </c>
      <c r="D101" s="26" t="s">
        <v>144</v>
      </c>
      <c r="E101" s="13" t="s">
        <v>53</v>
      </c>
      <c r="F101" s="13" t="s">
        <v>73</v>
      </c>
      <c r="G101" s="27">
        <v>2</v>
      </c>
      <c r="H101" s="27">
        <v>2</v>
      </c>
      <c r="I101" s="27">
        <f t="shared" si="3"/>
        <v>0</v>
      </c>
      <c r="J101" s="26"/>
    </row>
    <row r="102" spans="1:10" s="47" customFormat="1" ht="12.75" x14ac:dyDescent="0.2">
      <c r="A102" s="30">
        <v>45926</v>
      </c>
      <c r="B102" s="26" t="s">
        <v>50</v>
      </c>
      <c r="C102" s="12" t="s">
        <v>15</v>
      </c>
      <c r="D102" s="26" t="s">
        <v>146</v>
      </c>
      <c r="E102" s="13" t="s">
        <v>53</v>
      </c>
      <c r="F102" s="13" t="s">
        <v>74</v>
      </c>
      <c r="G102" s="27">
        <v>2</v>
      </c>
      <c r="H102" s="27">
        <v>2</v>
      </c>
      <c r="I102" s="27">
        <f t="shared" si="3"/>
        <v>0</v>
      </c>
      <c r="J102" s="26"/>
    </row>
    <row r="103" spans="1:10" s="47" customFormat="1" ht="12.75" x14ac:dyDescent="0.2">
      <c r="A103" s="30">
        <v>45926</v>
      </c>
      <c r="B103" s="26" t="s">
        <v>50</v>
      </c>
      <c r="C103" s="12" t="s">
        <v>15</v>
      </c>
      <c r="D103" s="26" t="s">
        <v>85</v>
      </c>
      <c r="E103" s="13" t="s">
        <v>61</v>
      </c>
      <c r="F103" s="13" t="s">
        <v>41</v>
      </c>
      <c r="G103" s="27">
        <v>1</v>
      </c>
      <c r="H103" s="27">
        <v>1</v>
      </c>
      <c r="I103" s="27">
        <f t="shared" si="3"/>
        <v>0</v>
      </c>
      <c r="J103" s="26"/>
    </row>
    <row r="104" spans="1:10" s="47" customFormat="1" ht="12.75" x14ac:dyDescent="0.2">
      <c r="A104" s="30">
        <v>45926</v>
      </c>
      <c r="B104" s="26" t="s">
        <v>50</v>
      </c>
      <c r="C104" s="12" t="s">
        <v>15</v>
      </c>
      <c r="D104" s="26" t="s">
        <v>146</v>
      </c>
      <c r="E104" s="13" t="s">
        <v>53</v>
      </c>
      <c r="F104" s="13" t="s">
        <v>74</v>
      </c>
      <c r="G104" s="27">
        <v>3</v>
      </c>
      <c r="H104" s="27">
        <v>3</v>
      </c>
      <c r="I104" s="27">
        <f t="shared" si="3"/>
        <v>0</v>
      </c>
      <c r="J104" s="26" t="s">
        <v>145</v>
      </c>
    </row>
    <row r="105" spans="1:10" ht="12.75" x14ac:dyDescent="0.2">
      <c r="A105" s="18"/>
      <c r="B105" s="20"/>
      <c r="C105" s="20"/>
      <c r="D105" s="20"/>
      <c r="E105" s="20" t="s">
        <v>16</v>
      </c>
      <c r="F105" s="20"/>
      <c r="G105" s="23">
        <f>SUM(G82:G104)</f>
        <v>41</v>
      </c>
      <c r="H105" s="23">
        <f>SUM(H82:H104)</f>
        <v>39</v>
      </c>
      <c r="I105" s="23">
        <f t="shared" si="3"/>
        <v>-2</v>
      </c>
      <c r="J105" s="20"/>
    </row>
    <row r="106" spans="1:10" ht="18.75" customHeight="1" x14ac:dyDescent="0.2">
      <c r="A106" s="67" t="s">
        <v>21</v>
      </c>
      <c r="B106" s="56"/>
      <c r="C106" s="56"/>
      <c r="D106" s="56"/>
      <c r="E106" s="56"/>
      <c r="F106" s="56"/>
      <c r="G106" s="56"/>
      <c r="H106" s="56"/>
      <c r="I106" s="56"/>
      <c r="J106" s="57"/>
    </row>
    <row r="107" spans="1:10" ht="12.75" x14ac:dyDescent="0.2">
      <c r="A107" s="33" t="s">
        <v>11</v>
      </c>
      <c r="B107" s="68" t="s">
        <v>12</v>
      </c>
      <c r="C107" s="56"/>
      <c r="D107" s="56"/>
      <c r="E107" s="56"/>
      <c r="F107" s="56"/>
      <c r="G107" s="56"/>
      <c r="H107" s="56"/>
      <c r="I107" s="56"/>
      <c r="J107" s="57"/>
    </row>
    <row r="108" spans="1:10" ht="27.75" customHeight="1" x14ac:dyDescent="0.2">
      <c r="A108" s="34" t="s">
        <v>13</v>
      </c>
      <c r="B108" s="68" t="s">
        <v>14</v>
      </c>
      <c r="C108" s="56"/>
      <c r="D108" s="56"/>
      <c r="E108" s="56"/>
      <c r="F108" s="56"/>
      <c r="G108" s="56"/>
      <c r="H108" s="56"/>
      <c r="I108" s="56"/>
      <c r="J108" s="57"/>
    </row>
    <row r="109" spans="1:10" ht="12.75" x14ac:dyDescent="0.2">
      <c r="A109" s="30">
        <v>45929</v>
      </c>
      <c r="B109" s="26" t="s">
        <v>50</v>
      </c>
      <c r="C109" s="12" t="s">
        <v>15</v>
      </c>
      <c r="D109" s="26" t="s">
        <v>146</v>
      </c>
      <c r="E109" s="13" t="s">
        <v>53</v>
      </c>
      <c r="F109" s="13" t="s">
        <v>74</v>
      </c>
      <c r="G109" s="27">
        <v>3</v>
      </c>
      <c r="H109" s="27">
        <v>3</v>
      </c>
      <c r="I109" s="27">
        <f t="shared" ref="I109:I128" si="4">H109-G109</f>
        <v>0</v>
      </c>
      <c r="J109" s="26"/>
    </row>
    <row r="110" spans="1:10" ht="12.75" x14ac:dyDescent="0.2">
      <c r="A110" s="30">
        <v>45929</v>
      </c>
      <c r="B110" s="26" t="s">
        <v>50</v>
      </c>
      <c r="C110" s="12" t="s">
        <v>15</v>
      </c>
      <c r="D110" s="26" t="s">
        <v>85</v>
      </c>
      <c r="E110" s="13" t="s">
        <v>61</v>
      </c>
      <c r="F110" s="13" t="s">
        <v>41</v>
      </c>
      <c r="G110" s="27">
        <v>1</v>
      </c>
      <c r="H110" s="27">
        <v>1</v>
      </c>
      <c r="I110" s="27">
        <f t="shared" si="4"/>
        <v>0</v>
      </c>
      <c r="J110" s="26"/>
    </row>
    <row r="111" spans="1:10" ht="12.75" x14ac:dyDescent="0.2">
      <c r="A111" s="30">
        <v>45929</v>
      </c>
      <c r="B111" s="26" t="s">
        <v>50</v>
      </c>
      <c r="C111" s="12" t="s">
        <v>15</v>
      </c>
      <c r="D111" s="26" t="s">
        <v>212</v>
      </c>
      <c r="E111" s="13" t="s">
        <v>53</v>
      </c>
      <c r="F111" s="13" t="s">
        <v>74</v>
      </c>
      <c r="G111" s="27">
        <v>3</v>
      </c>
      <c r="H111" s="27">
        <v>4</v>
      </c>
      <c r="I111" s="27">
        <f t="shared" si="4"/>
        <v>1</v>
      </c>
      <c r="J111" s="26"/>
    </row>
    <row r="112" spans="1:10" ht="12.75" x14ac:dyDescent="0.2">
      <c r="A112" s="30">
        <v>45930</v>
      </c>
      <c r="B112" s="26" t="s">
        <v>50</v>
      </c>
      <c r="C112" s="12" t="s">
        <v>15</v>
      </c>
      <c r="D112" s="26" t="s">
        <v>151</v>
      </c>
      <c r="E112" s="13" t="s">
        <v>45</v>
      </c>
      <c r="F112" s="13" t="s">
        <v>340</v>
      </c>
      <c r="G112" s="27">
        <v>1</v>
      </c>
      <c r="H112" s="27">
        <v>1</v>
      </c>
      <c r="I112" s="27">
        <f t="shared" si="4"/>
        <v>0</v>
      </c>
      <c r="J112" s="26"/>
    </row>
    <row r="113" spans="1:10" ht="12.75" x14ac:dyDescent="0.2">
      <c r="A113" s="30">
        <v>45930</v>
      </c>
      <c r="B113" s="26" t="s">
        <v>50</v>
      </c>
      <c r="C113" s="12" t="s">
        <v>15</v>
      </c>
      <c r="D113" s="26" t="s">
        <v>213</v>
      </c>
      <c r="E113" s="13" t="s">
        <v>53</v>
      </c>
      <c r="F113" s="13" t="s">
        <v>74</v>
      </c>
      <c r="G113" s="27">
        <v>1</v>
      </c>
      <c r="H113" s="27">
        <v>1</v>
      </c>
      <c r="I113" s="27">
        <f t="shared" si="4"/>
        <v>0</v>
      </c>
      <c r="J113" s="26" t="s">
        <v>214</v>
      </c>
    </row>
    <row r="114" spans="1:10" ht="12.75" x14ac:dyDescent="0.2">
      <c r="A114" s="30">
        <v>45930</v>
      </c>
      <c r="B114" s="26" t="s">
        <v>50</v>
      </c>
      <c r="C114" s="12" t="s">
        <v>15</v>
      </c>
      <c r="D114" s="26" t="s">
        <v>192</v>
      </c>
      <c r="E114" s="13" t="s">
        <v>45</v>
      </c>
      <c r="F114" s="13" t="s">
        <v>340</v>
      </c>
      <c r="G114" s="27">
        <v>1</v>
      </c>
      <c r="H114" s="27">
        <v>1</v>
      </c>
      <c r="I114" s="27">
        <f t="shared" si="4"/>
        <v>0</v>
      </c>
      <c r="J114" s="26"/>
    </row>
    <row r="115" spans="1:10" ht="12.75" x14ac:dyDescent="0.2">
      <c r="A115" s="30">
        <v>45930</v>
      </c>
      <c r="B115" s="26" t="s">
        <v>50</v>
      </c>
      <c r="C115" s="12" t="s">
        <v>15</v>
      </c>
      <c r="D115" s="26" t="s">
        <v>85</v>
      </c>
      <c r="E115" s="13" t="s">
        <v>61</v>
      </c>
      <c r="F115" s="13" t="s">
        <v>41</v>
      </c>
      <c r="G115" s="27">
        <v>1</v>
      </c>
      <c r="H115" s="27">
        <v>1</v>
      </c>
      <c r="I115" s="27">
        <f t="shared" si="4"/>
        <v>0</v>
      </c>
      <c r="J115" s="26"/>
    </row>
    <row r="116" spans="1:10" ht="12.75" x14ac:dyDescent="0.2">
      <c r="A116" s="30">
        <v>45930</v>
      </c>
      <c r="B116" s="26" t="s">
        <v>50</v>
      </c>
      <c r="C116" s="12" t="s">
        <v>15</v>
      </c>
      <c r="D116" s="26" t="s">
        <v>215</v>
      </c>
      <c r="E116" s="13" t="s">
        <v>57</v>
      </c>
      <c r="F116" s="13" t="s">
        <v>74</v>
      </c>
      <c r="G116" s="27">
        <v>0.5</v>
      </c>
      <c r="H116" s="27">
        <v>0.5</v>
      </c>
      <c r="I116" s="27">
        <f t="shared" si="4"/>
        <v>0</v>
      </c>
      <c r="J116" s="26"/>
    </row>
    <row r="117" spans="1:10" ht="12.75" x14ac:dyDescent="0.2">
      <c r="A117" s="30">
        <v>45930</v>
      </c>
      <c r="B117" s="26" t="s">
        <v>50</v>
      </c>
      <c r="C117" s="12" t="s">
        <v>15</v>
      </c>
      <c r="D117" s="26" t="s">
        <v>216</v>
      </c>
      <c r="E117" s="13" t="s">
        <v>55</v>
      </c>
      <c r="F117" s="13" t="s">
        <v>340</v>
      </c>
      <c r="G117" s="27">
        <v>1</v>
      </c>
      <c r="H117" s="27">
        <v>1</v>
      </c>
      <c r="I117" s="27">
        <f t="shared" si="4"/>
        <v>0</v>
      </c>
      <c r="J117" s="26" t="s">
        <v>217</v>
      </c>
    </row>
    <row r="118" spans="1:10" ht="12.75" x14ac:dyDescent="0.2">
      <c r="A118" s="30">
        <v>45930</v>
      </c>
      <c r="B118" s="26" t="s">
        <v>50</v>
      </c>
      <c r="C118" s="12" t="s">
        <v>15</v>
      </c>
      <c r="D118" s="26" t="s">
        <v>212</v>
      </c>
      <c r="E118" s="13" t="s">
        <v>53</v>
      </c>
      <c r="F118" s="13" t="s">
        <v>74</v>
      </c>
      <c r="G118" s="27">
        <v>3</v>
      </c>
      <c r="H118" s="27">
        <v>3</v>
      </c>
      <c r="I118" s="27">
        <f t="shared" si="4"/>
        <v>0</v>
      </c>
      <c r="J118" s="26" t="s">
        <v>220</v>
      </c>
    </row>
    <row r="119" spans="1:10" s="51" customFormat="1" ht="12.75" x14ac:dyDescent="0.2">
      <c r="A119" s="30">
        <v>45931</v>
      </c>
      <c r="B119" s="26" t="s">
        <v>50</v>
      </c>
      <c r="C119" s="12" t="s">
        <v>15</v>
      </c>
      <c r="D119" s="26" t="s">
        <v>212</v>
      </c>
      <c r="E119" s="13" t="s">
        <v>53</v>
      </c>
      <c r="F119" s="13" t="s">
        <v>74</v>
      </c>
      <c r="G119" s="27">
        <v>4</v>
      </c>
      <c r="H119" s="27">
        <v>3</v>
      </c>
      <c r="I119" s="27">
        <f t="shared" si="4"/>
        <v>-1</v>
      </c>
      <c r="J119" s="26" t="s">
        <v>220</v>
      </c>
    </row>
    <row r="120" spans="1:10" s="51" customFormat="1" ht="12.75" x14ac:dyDescent="0.2">
      <c r="A120" s="30">
        <v>45931</v>
      </c>
      <c r="B120" s="26" t="s">
        <v>50</v>
      </c>
      <c r="C120" s="12" t="s">
        <v>15</v>
      </c>
      <c r="D120" s="26" t="s">
        <v>85</v>
      </c>
      <c r="E120" s="13" t="s">
        <v>61</v>
      </c>
      <c r="F120" s="13" t="s">
        <v>41</v>
      </c>
      <c r="G120" s="27">
        <v>1</v>
      </c>
      <c r="H120" s="27">
        <v>1</v>
      </c>
      <c r="I120" s="27">
        <f t="shared" si="4"/>
        <v>0</v>
      </c>
      <c r="J120" s="26"/>
    </row>
    <row r="121" spans="1:10" s="51" customFormat="1" ht="12.75" x14ac:dyDescent="0.2">
      <c r="A121" s="30">
        <v>45931</v>
      </c>
      <c r="B121" s="26" t="s">
        <v>50</v>
      </c>
      <c r="C121" s="12" t="s">
        <v>15</v>
      </c>
      <c r="D121" s="26" t="s">
        <v>212</v>
      </c>
      <c r="E121" s="13" t="s">
        <v>53</v>
      </c>
      <c r="F121" s="13" t="s">
        <v>74</v>
      </c>
      <c r="G121" s="27">
        <v>3</v>
      </c>
      <c r="H121" s="27">
        <v>3</v>
      </c>
      <c r="I121" s="27">
        <f t="shared" si="4"/>
        <v>0</v>
      </c>
      <c r="J121" s="26" t="s">
        <v>220</v>
      </c>
    </row>
    <row r="122" spans="1:10" s="51" customFormat="1" ht="12.75" x14ac:dyDescent="0.2">
      <c r="A122" s="30">
        <v>45932</v>
      </c>
      <c r="B122" s="26" t="s">
        <v>50</v>
      </c>
      <c r="C122" s="12" t="s">
        <v>15</v>
      </c>
      <c r="D122" s="26" t="s">
        <v>212</v>
      </c>
      <c r="E122" s="13" t="s">
        <v>53</v>
      </c>
      <c r="F122" s="13" t="s">
        <v>74</v>
      </c>
      <c r="G122" s="27">
        <v>3</v>
      </c>
      <c r="H122" s="27">
        <v>2.5</v>
      </c>
      <c r="I122" s="27">
        <f t="shared" si="4"/>
        <v>-0.5</v>
      </c>
      <c r="J122" s="26" t="s">
        <v>220</v>
      </c>
    </row>
    <row r="123" spans="1:10" s="51" customFormat="1" ht="12.75" x14ac:dyDescent="0.2">
      <c r="A123" s="30">
        <v>45932</v>
      </c>
      <c r="B123" s="26" t="s">
        <v>50</v>
      </c>
      <c r="C123" s="12" t="s">
        <v>15</v>
      </c>
      <c r="D123" s="26" t="s">
        <v>85</v>
      </c>
      <c r="E123" s="13" t="s">
        <v>61</v>
      </c>
      <c r="F123" s="13" t="s">
        <v>41</v>
      </c>
      <c r="G123" s="27">
        <v>1</v>
      </c>
      <c r="H123" s="27">
        <v>1</v>
      </c>
      <c r="I123" s="27">
        <f t="shared" si="4"/>
        <v>0</v>
      </c>
      <c r="J123" s="26"/>
    </row>
    <row r="124" spans="1:10" s="51" customFormat="1" ht="12.75" x14ac:dyDescent="0.2">
      <c r="A124" s="30">
        <v>45932</v>
      </c>
      <c r="B124" s="26" t="s">
        <v>50</v>
      </c>
      <c r="C124" s="12" t="s">
        <v>15</v>
      </c>
      <c r="D124" s="26" t="s">
        <v>212</v>
      </c>
      <c r="E124" s="13" t="s">
        <v>53</v>
      </c>
      <c r="F124" s="13" t="s">
        <v>74</v>
      </c>
      <c r="G124" s="27">
        <v>3</v>
      </c>
      <c r="H124" s="27">
        <v>4</v>
      </c>
      <c r="I124" s="27">
        <f t="shared" si="4"/>
        <v>1</v>
      </c>
      <c r="J124" s="26" t="s">
        <v>220</v>
      </c>
    </row>
    <row r="125" spans="1:10" s="51" customFormat="1" ht="12.75" x14ac:dyDescent="0.2">
      <c r="A125" s="30">
        <v>45933</v>
      </c>
      <c r="B125" s="26" t="s">
        <v>50</v>
      </c>
      <c r="C125" s="12" t="s">
        <v>15</v>
      </c>
      <c r="D125" s="26" t="s">
        <v>218</v>
      </c>
      <c r="E125" s="13" t="s">
        <v>53</v>
      </c>
      <c r="F125" s="13" t="s">
        <v>73</v>
      </c>
      <c r="G125" s="27">
        <v>3</v>
      </c>
      <c r="H125" s="27">
        <v>2</v>
      </c>
      <c r="I125" s="27">
        <f t="shared" si="4"/>
        <v>-1</v>
      </c>
      <c r="J125" s="26" t="s">
        <v>219</v>
      </c>
    </row>
    <row r="126" spans="1:10" s="51" customFormat="1" ht="12.75" x14ac:dyDescent="0.2">
      <c r="A126" s="30">
        <v>45933</v>
      </c>
      <c r="B126" s="26" t="s">
        <v>50</v>
      </c>
      <c r="C126" s="12" t="s">
        <v>15</v>
      </c>
      <c r="D126" s="26" t="s">
        <v>85</v>
      </c>
      <c r="E126" s="13" t="s">
        <v>61</v>
      </c>
      <c r="F126" s="13" t="s">
        <v>41</v>
      </c>
      <c r="G126" s="27">
        <v>1</v>
      </c>
      <c r="H126" s="27">
        <v>1</v>
      </c>
      <c r="I126" s="27">
        <f t="shared" si="4"/>
        <v>0</v>
      </c>
      <c r="J126" s="26"/>
    </row>
    <row r="127" spans="1:10" s="51" customFormat="1" ht="12.75" x14ac:dyDescent="0.2">
      <c r="A127" s="30">
        <v>45933</v>
      </c>
      <c r="B127" s="26" t="s">
        <v>50</v>
      </c>
      <c r="C127" s="12" t="s">
        <v>15</v>
      </c>
      <c r="D127" s="26" t="s">
        <v>212</v>
      </c>
      <c r="E127" s="13" t="s">
        <v>53</v>
      </c>
      <c r="F127" s="13" t="s">
        <v>74</v>
      </c>
      <c r="G127" s="27">
        <v>3</v>
      </c>
      <c r="H127" s="27">
        <v>3</v>
      </c>
      <c r="I127" s="27">
        <f t="shared" si="4"/>
        <v>0</v>
      </c>
      <c r="J127" s="26" t="s">
        <v>220</v>
      </c>
    </row>
    <row r="128" spans="1:10" ht="12.75" x14ac:dyDescent="0.2">
      <c r="A128" s="18"/>
      <c r="B128" s="20"/>
      <c r="C128" s="20"/>
      <c r="D128" s="20"/>
      <c r="E128" s="20" t="s">
        <v>16</v>
      </c>
      <c r="F128" s="20"/>
      <c r="G128" s="23">
        <f>SUM(G109:G127)</f>
        <v>37.5</v>
      </c>
      <c r="H128" s="23">
        <f>SUM(H109:H127)</f>
        <v>37</v>
      </c>
      <c r="I128" s="23">
        <f t="shared" si="4"/>
        <v>-0.5</v>
      </c>
      <c r="J128" s="20"/>
    </row>
    <row r="129" spans="1:10" ht="18.75" customHeight="1" x14ac:dyDescent="0.2">
      <c r="A129" s="63" t="s">
        <v>22</v>
      </c>
      <c r="B129" s="56"/>
      <c r="C129" s="56"/>
      <c r="D129" s="56"/>
      <c r="E129" s="56"/>
      <c r="F129" s="56"/>
      <c r="G129" s="56"/>
      <c r="H129" s="56"/>
      <c r="I129" s="56"/>
      <c r="J129" s="57"/>
    </row>
    <row r="130" spans="1:10" ht="12.75" x14ac:dyDescent="0.2">
      <c r="A130" s="35" t="s">
        <v>11</v>
      </c>
      <c r="B130" s="64" t="s">
        <v>12</v>
      </c>
      <c r="C130" s="56"/>
      <c r="D130" s="56"/>
      <c r="E130" s="56"/>
      <c r="F130" s="56"/>
      <c r="G130" s="56"/>
      <c r="H130" s="56"/>
      <c r="I130" s="56"/>
      <c r="J130" s="57"/>
    </row>
    <row r="131" spans="1:10" ht="27.75" customHeight="1" x14ac:dyDescent="0.2">
      <c r="A131" s="36" t="s">
        <v>13</v>
      </c>
      <c r="B131" s="64" t="s">
        <v>14</v>
      </c>
      <c r="C131" s="56"/>
      <c r="D131" s="56"/>
      <c r="E131" s="56"/>
      <c r="F131" s="56"/>
      <c r="G131" s="56"/>
      <c r="H131" s="56"/>
      <c r="I131" s="56"/>
      <c r="J131" s="57"/>
    </row>
    <row r="132" spans="1:10" ht="12.75" x14ac:dyDescent="0.2">
      <c r="A132" s="30">
        <v>45936</v>
      </c>
      <c r="B132" s="26" t="s">
        <v>50</v>
      </c>
      <c r="C132" s="12" t="s">
        <v>15</v>
      </c>
      <c r="D132" s="26" t="s">
        <v>221</v>
      </c>
      <c r="E132" s="13" t="s">
        <v>53</v>
      </c>
      <c r="F132" s="13" t="s">
        <v>74</v>
      </c>
      <c r="G132" s="27">
        <v>4</v>
      </c>
      <c r="H132" s="27">
        <v>4</v>
      </c>
      <c r="I132" s="27">
        <f t="shared" ref="I132:I151" si="5">H132-G132</f>
        <v>0</v>
      </c>
      <c r="J132" s="26" t="s">
        <v>222</v>
      </c>
    </row>
    <row r="133" spans="1:10" ht="12.75" x14ac:dyDescent="0.2">
      <c r="A133" s="30">
        <v>45936</v>
      </c>
      <c r="B133" s="26" t="s">
        <v>50</v>
      </c>
      <c r="C133" s="12" t="s">
        <v>15</v>
      </c>
      <c r="D133" s="26" t="s">
        <v>85</v>
      </c>
      <c r="E133" s="13" t="s">
        <v>61</v>
      </c>
      <c r="F133" s="13" t="s">
        <v>41</v>
      </c>
      <c r="G133" s="27">
        <v>1</v>
      </c>
      <c r="H133" s="27">
        <v>1</v>
      </c>
      <c r="I133" s="27">
        <f t="shared" si="5"/>
        <v>0</v>
      </c>
      <c r="J133" s="26"/>
    </row>
    <row r="134" spans="1:10" ht="12.75" x14ac:dyDescent="0.2">
      <c r="A134" s="30">
        <v>45936</v>
      </c>
      <c r="B134" s="26" t="s">
        <v>50</v>
      </c>
      <c r="C134" s="12" t="s">
        <v>15</v>
      </c>
      <c r="D134" s="26" t="s">
        <v>216</v>
      </c>
      <c r="E134" s="13" t="s">
        <v>53</v>
      </c>
      <c r="F134" s="13" t="s">
        <v>340</v>
      </c>
      <c r="G134" s="27">
        <v>1</v>
      </c>
      <c r="H134" s="27">
        <v>1</v>
      </c>
      <c r="I134" s="27">
        <f t="shared" si="5"/>
        <v>0</v>
      </c>
      <c r="J134" s="26"/>
    </row>
    <row r="135" spans="1:10" ht="12.75" x14ac:dyDescent="0.2">
      <c r="A135" s="30">
        <v>45936</v>
      </c>
      <c r="B135" s="26" t="s">
        <v>50</v>
      </c>
      <c r="C135" s="12" t="s">
        <v>15</v>
      </c>
      <c r="D135" s="26" t="s">
        <v>212</v>
      </c>
      <c r="E135" s="13" t="s">
        <v>53</v>
      </c>
      <c r="F135" s="13" t="s">
        <v>74</v>
      </c>
      <c r="G135" s="27">
        <v>3</v>
      </c>
      <c r="H135" s="27">
        <v>3</v>
      </c>
      <c r="I135" s="27">
        <f t="shared" si="5"/>
        <v>0</v>
      </c>
      <c r="J135" s="26" t="s">
        <v>220</v>
      </c>
    </row>
    <row r="136" spans="1:10" ht="12.75" x14ac:dyDescent="0.2">
      <c r="A136" s="30">
        <v>45937</v>
      </c>
      <c r="B136" s="26" t="s">
        <v>50</v>
      </c>
      <c r="C136" s="12" t="s">
        <v>15</v>
      </c>
      <c r="D136" s="26" t="s">
        <v>151</v>
      </c>
      <c r="E136" s="13" t="s">
        <v>45</v>
      </c>
      <c r="F136" s="13" t="s">
        <v>340</v>
      </c>
      <c r="G136" s="27">
        <v>1</v>
      </c>
      <c r="H136" s="27">
        <v>1</v>
      </c>
      <c r="I136" s="27">
        <f t="shared" si="5"/>
        <v>0</v>
      </c>
      <c r="J136" s="26"/>
    </row>
    <row r="137" spans="1:10" ht="12.75" x14ac:dyDescent="0.2">
      <c r="A137" s="30">
        <v>45937</v>
      </c>
      <c r="B137" s="26" t="s">
        <v>50</v>
      </c>
      <c r="C137" s="12" t="s">
        <v>15</v>
      </c>
      <c r="D137" s="26" t="s">
        <v>192</v>
      </c>
      <c r="E137" s="13" t="s">
        <v>45</v>
      </c>
      <c r="F137" s="13" t="s">
        <v>340</v>
      </c>
      <c r="G137" s="27">
        <v>1</v>
      </c>
      <c r="H137" s="27">
        <v>1</v>
      </c>
      <c r="I137" s="27">
        <f t="shared" si="5"/>
        <v>0</v>
      </c>
      <c r="J137" s="26" t="s">
        <v>223</v>
      </c>
    </row>
    <row r="138" spans="1:10" ht="12.75" x14ac:dyDescent="0.2">
      <c r="A138" s="30">
        <v>45937</v>
      </c>
      <c r="B138" s="26" t="s">
        <v>50</v>
      </c>
      <c r="C138" s="12" t="s">
        <v>15</v>
      </c>
      <c r="D138" s="26" t="s">
        <v>224</v>
      </c>
      <c r="E138" s="13" t="s">
        <v>51</v>
      </c>
      <c r="F138" s="13" t="s">
        <v>73</v>
      </c>
      <c r="G138" s="27">
        <v>1</v>
      </c>
      <c r="H138" s="27">
        <v>2</v>
      </c>
      <c r="I138" s="27">
        <f t="shared" si="5"/>
        <v>1</v>
      </c>
      <c r="J138" s="26" t="s">
        <v>225</v>
      </c>
    </row>
    <row r="139" spans="1:10" ht="12.75" x14ac:dyDescent="0.2">
      <c r="A139" s="30">
        <v>45937</v>
      </c>
      <c r="B139" s="26" t="s">
        <v>50</v>
      </c>
      <c r="C139" s="12" t="s">
        <v>15</v>
      </c>
      <c r="D139" s="26" t="s">
        <v>85</v>
      </c>
      <c r="E139" s="13" t="s">
        <v>61</v>
      </c>
      <c r="F139" s="13" t="s">
        <v>41</v>
      </c>
      <c r="G139" s="27">
        <v>1</v>
      </c>
      <c r="H139" s="27">
        <v>1</v>
      </c>
      <c r="I139" s="27">
        <f t="shared" si="5"/>
        <v>0</v>
      </c>
      <c r="J139" s="26"/>
    </row>
    <row r="140" spans="1:10" ht="12.75" x14ac:dyDescent="0.2">
      <c r="A140" s="30">
        <v>45937</v>
      </c>
      <c r="B140" s="26" t="s">
        <v>50</v>
      </c>
      <c r="C140" s="12" t="s">
        <v>15</v>
      </c>
      <c r="D140" s="26" t="s">
        <v>226</v>
      </c>
      <c r="E140" s="13" t="s">
        <v>53</v>
      </c>
      <c r="F140" s="13" t="s">
        <v>74</v>
      </c>
      <c r="G140" s="27">
        <v>3</v>
      </c>
      <c r="H140" s="27">
        <v>3</v>
      </c>
      <c r="I140" s="27">
        <f t="shared" si="5"/>
        <v>0</v>
      </c>
      <c r="J140" s="26"/>
    </row>
    <row r="141" spans="1:10" s="52" customFormat="1" ht="12.75" x14ac:dyDescent="0.2">
      <c r="A141" s="30">
        <v>45938</v>
      </c>
      <c r="B141" s="26" t="s">
        <v>50</v>
      </c>
      <c r="C141" s="12" t="s">
        <v>15</v>
      </c>
      <c r="D141" s="26" t="s">
        <v>227</v>
      </c>
      <c r="E141" s="13" t="s">
        <v>53</v>
      </c>
      <c r="F141" s="13" t="s">
        <v>74</v>
      </c>
      <c r="G141" s="27">
        <v>3</v>
      </c>
      <c r="H141" s="27">
        <v>3</v>
      </c>
      <c r="I141" s="27">
        <f t="shared" si="5"/>
        <v>0</v>
      </c>
      <c r="J141" s="26" t="s">
        <v>228</v>
      </c>
    </row>
    <row r="142" spans="1:10" s="52" customFormat="1" ht="12.75" x14ac:dyDescent="0.2">
      <c r="A142" s="30">
        <v>45938</v>
      </c>
      <c r="B142" s="26" t="s">
        <v>50</v>
      </c>
      <c r="C142" s="12" t="s">
        <v>15</v>
      </c>
      <c r="D142" s="26" t="s">
        <v>85</v>
      </c>
      <c r="E142" s="13" t="s">
        <v>61</v>
      </c>
      <c r="F142" s="13" t="s">
        <v>41</v>
      </c>
      <c r="G142" s="27">
        <v>1</v>
      </c>
      <c r="H142" s="27">
        <v>1</v>
      </c>
      <c r="I142" s="27">
        <f t="shared" si="5"/>
        <v>0</v>
      </c>
      <c r="J142" s="26"/>
    </row>
    <row r="143" spans="1:10" s="52" customFormat="1" ht="12.75" x14ac:dyDescent="0.2">
      <c r="A143" s="30">
        <v>45938</v>
      </c>
      <c r="B143" s="26" t="s">
        <v>50</v>
      </c>
      <c r="C143" s="12" t="s">
        <v>15</v>
      </c>
      <c r="D143" s="26" t="s">
        <v>227</v>
      </c>
      <c r="E143" s="13" t="s">
        <v>53</v>
      </c>
      <c r="F143" s="13" t="s">
        <v>74</v>
      </c>
      <c r="G143" s="27">
        <v>4</v>
      </c>
      <c r="H143" s="27">
        <v>3</v>
      </c>
      <c r="I143" s="27">
        <f t="shared" si="5"/>
        <v>-1</v>
      </c>
      <c r="J143" s="26" t="s">
        <v>229</v>
      </c>
    </row>
    <row r="144" spans="1:10" s="52" customFormat="1" ht="12.75" x14ac:dyDescent="0.2">
      <c r="A144" s="30">
        <v>45939</v>
      </c>
      <c r="B144" s="26" t="s">
        <v>50</v>
      </c>
      <c r="C144" s="12" t="s">
        <v>15</v>
      </c>
      <c r="D144" s="26" t="s">
        <v>230</v>
      </c>
      <c r="E144" s="13" t="s">
        <v>53</v>
      </c>
      <c r="F144" s="13" t="s">
        <v>74</v>
      </c>
      <c r="G144" s="27">
        <v>3</v>
      </c>
      <c r="H144" s="27">
        <v>3</v>
      </c>
      <c r="I144" s="27">
        <f t="shared" si="5"/>
        <v>0</v>
      </c>
      <c r="J144" s="26" t="s">
        <v>231</v>
      </c>
    </row>
    <row r="145" spans="1:10" ht="12.75" x14ac:dyDescent="0.2">
      <c r="A145" s="30">
        <v>45939</v>
      </c>
      <c r="B145" s="26" t="s">
        <v>50</v>
      </c>
      <c r="C145" s="12" t="s">
        <v>15</v>
      </c>
      <c r="D145" s="26" t="s">
        <v>85</v>
      </c>
      <c r="E145" s="13" t="s">
        <v>61</v>
      </c>
      <c r="F145" s="13" t="s">
        <v>41</v>
      </c>
      <c r="G145" s="27">
        <v>1</v>
      </c>
      <c r="H145" s="27">
        <v>1</v>
      </c>
      <c r="I145" s="27">
        <f t="shared" si="5"/>
        <v>0</v>
      </c>
      <c r="J145" s="26"/>
    </row>
    <row r="146" spans="1:10" s="52" customFormat="1" ht="12.75" x14ac:dyDescent="0.2">
      <c r="A146" s="30">
        <v>45939</v>
      </c>
      <c r="B146" s="26" t="s">
        <v>50</v>
      </c>
      <c r="C146" s="12" t="s">
        <v>15</v>
      </c>
      <c r="D146" s="26" t="s">
        <v>230</v>
      </c>
      <c r="E146" s="13" t="s">
        <v>53</v>
      </c>
      <c r="F146" s="13" t="s">
        <v>74</v>
      </c>
      <c r="G146" s="27">
        <v>4</v>
      </c>
      <c r="H146" s="27">
        <v>3</v>
      </c>
      <c r="I146" s="27">
        <f t="shared" si="5"/>
        <v>-1</v>
      </c>
      <c r="J146" s="26" t="s">
        <v>231</v>
      </c>
    </row>
    <row r="147" spans="1:10" s="52" customFormat="1" ht="12.75" x14ac:dyDescent="0.2">
      <c r="A147" s="30">
        <v>45940</v>
      </c>
      <c r="B147" s="26" t="s">
        <v>50</v>
      </c>
      <c r="C147" s="12" t="s">
        <v>15</v>
      </c>
      <c r="D147" s="26" t="s">
        <v>232</v>
      </c>
      <c r="E147" s="13" t="s">
        <v>53</v>
      </c>
      <c r="F147" s="13" t="s">
        <v>74</v>
      </c>
      <c r="G147" s="27">
        <v>2</v>
      </c>
      <c r="H147" s="27">
        <v>2</v>
      </c>
      <c r="I147" s="27">
        <f t="shared" si="5"/>
        <v>0</v>
      </c>
      <c r="J147" s="26"/>
    </row>
    <row r="148" spans="1:10" s="52" customFormat="1" ht="12.75" x14ac:dyDescent="0.2">
      <c r="A148" s="30">
        <v>45940</v>
      </c>
      <c r="B148" s="26" t="s">
        <v>50</v>
      </c>
      <c r="C148" s="12" t="s">
        <v>15</v>
      </c>
      <c r="D148" s="26" t="s">
        <v>233</v>
      </c>
      <c r="E148" s="13" t="s">
        <v>53</v>
      </c>
      <c r="F148" s="13" t="s">
        <v>74</v>
      </c>
      <c r="G148" s="27">
        <v>2</v>
      </c>
      <c r="H148" s="27">
        <v>2</v>
      </c>
      <c r="I148" s="27">
        <f t="shared" si="5"/>
        <v>0</v>
      </c>
      <c r="J148" s="26" t="s">
        <v>234</v>
      </c>
    </row>
    <row r="149" spans="1:10" s="52" customFormat="1" ht="12.75" x14ac:dyDescent="0.2">
      <c r="A149" s="30">
        <v>45940</v>
      </c>
      <c r="B149" s="26" t="s">
        <v>50</v>
      </c>
      <c r="C149" s="12" t="s">
        <v>15</v>
      </c>
      <c r="D149" s="26" t="s">
        <v>85</v>
      </c>
      <c r="E149" s="13" t="s">
        <v>61</v>
      </c>
      <c r="F149" s="13" t="s">
        <v>41</v>
      </c>
      <c r="G149" s="27">
        <v>1</v>
      </c>
      <c r="H149" s="27">
        <v>1</v>
      </c>
      <c r="I149" s="27">
        <f t="shared" si="5"/>
        <v>0</v>
      </c>
      <c r="J149" s="26"/>
    </row>
    <row r="150" spans="1:10" s="52" customFormat="1" ht="12.75" x14ac:dyDescent="0.2">
      <c r="A150" s="30">
        <v>45940</v>
      </c>
      <c r="B150" s="26" t="s">
        <v>50</v>
      </c>
      <c r="C150" s="12" t="s">
        <v>15</v>
      </c>
      <c r="D150" s="26" t="s">
        <v>233</v>
      </c>
      <c r="E150" s="13" t="s">
        <v>53</v>
      </c>
      <c r="F150" s="13" t="s">
        <v>74</v>
      </c>
      <c r="G150" s="27">
        <v>3</v>
      </c>
      <c r="H150" s="27">
        <v>3</v>
      </c>
      <c r="I150" s="27">
        <f t="shared" si="5"/>
        <v>0</v>
      </c>
      <c r="J150" s="26" t="s">
        <v>234</v>
      </c>
    </row>
    <row r="151" spans="1:10" ht="12.75" x14ac:dyDescent="0.2">
      <c r="A151" s="18"/>
      <c r="B151" s="20"/>
      <c r="C151" s="20"/>
      <c r="D151" s="20"/>
      <c r="E151" s="20" t="s">
        <v>16</v>
      </c>
      <c r="F151" s="20"/>
      <c r="G151" s="23">
        <f>SUM(G132:G150)</f>
        <v>40</v>
      </c>
      <c r="H151" s="23">
        <f>SUM(H132:H150)</f>
        <v>39</v>
      </c>
      <c r="I151" s="23">
        <f t="shared" si="5"/>
        <v>-1</v>
      </c>
      <c r="J151" s="20"/>
    </row>
    <row r="152" spans="1:10" ht="18.75" customHeight="1" x14ac:dyDescent="0.2">
      <c r="A152" s="65" t="s">
        <v>23</v>
      </c>
      <c r="B152" s="56"/>
      <c r="C152" s="56"/>
      <c r="D152" s="56"/>
      <c r="E152" s="56"/>
      <c r="F152" s="56"/>
      <c r="G152" s="56"/>
      <c r="H152" s="56"/>
      <c r="I152" s="56"/>
      <c r="J152" s="57"/>
    </row>
    <row r="153" spans="1:10" ht="12.75" x14ac:dyDescent="0.2">
      <c r="A153" s="37" t="s">
        <v>11</v>
      </c>
      <c r="B153" s="55" t="s">
        <v>12</v>
      </c>
      <c r="C153" s="56"/>
      <c r="D153" s="56"/>
      <c r="E153" s="56"/>
      <c r="F153" s="56"/>
      <c r="G153" s="56"/>
      <c r="H153" s="56"/>
      <c r="I153" s="56"/>
      <c r="J153" s="57"/>
    </row>
    <row r="154" spans="1:10" ht="28.5" customHeight="1" x14ac:dyDescent="0.2">
      <c r="A154" s="38" t="s">
        <v>13</v>
      </c>
      <c r="B154" s="55" t="s">
        <v>14</v>
      </c>
      <c r="C154" s="56"/>
      <c r="D154" s="56"/>
      <c r="E154" s="56"/>
      <c r="F154" s="56"/>
      <c r="G154" s="56"/>
      <c r="H154" s="56"/>
      <c r="I154" s="56"/>
      <c r="J154" s="57"/>
    </row>
    <row r="155" spans="1:10" ht="12.75" x14ac:dyDescent="0.2">
      <c r="A155" s="30">
        <v>45943</v>
      </c>
      <c r="B155" s="26" t="s">
        <v>50</v>
      </c>
      <c r="C155" s="12" t="s">
        <v>15</v>
      </c>
      <c r="D155" s="26" t="s">
        <v>233</v>
      </c>
      <c r="E155" s="13" t="s">
        <v>53</v>
      </c>
      <c r="F155" s="13" t="s">
        <v>74</v>
      </c>
      <c r="G155" s="27">
        <v>2</v>
      </c>
      <c r="H155" s="27">
        <v>2</v>
      </c>
      <c r="I155" s="27">
        <f t="shared" ref="I155:I173" si="6">H155-G155</f>
        <v>0</v>
      </c>
      <c r="J155" s="26" t="s">
        <v>234</v>
      </c>
    </row>
    <row r="156" spans="1:10" ht="12.75" x14ac:dyDescent="0.2">
      <c r="A156" s="30">
        <v>45943</v>
      </c>
      <c r="B156" s="26" t="s">
        <v>50</v>
      </c>
      <c r="C156" s="12" t="s">
        <v>15</v>
      </c>
      <c r="D156" s="26" t="s">
        <v>235</v>
      </c>
      <c r="E156" s="13" t="s">
        <v>53</v>
      </c>
      <c r="F156" s="13" t="s">
        <v>75</v>
      </c>
      <c r="G156" s="27">
        <v>2</v>
      </c>
      <c r="H156" s="27">
        <v>2</v>
      </c>
      <c r="I156" s="27">
        <f t="shared" si="6"/>
        <v>0</v>
      </c>
      <c r="J156" s="26" t="s">
        <v>236</v>
      </c>
    </row>
    <row r="157" spans="1:10" ht="12.75" x14ac:dyDescent="0.2">
      <c r="A157" s="30">
        <v>45943</v>
      </c>
      <c r="B157" s="26" t="s">
        <v>50</v>
      </c>
      <c r="C157" s="12" t="s">
        <v>15</v>
      </c>
      <c r="D157" s="26" t="s">
        <v>85</v>
      </c>
      <c r="E157" s="13" t="s">
        <v>61</v>
      </c>
      <c r="F157" s="13" t="s">
        <v>41</v>
      </c>
      <c r="G157" s="27">
        <v>1</v>
      </c>
      <c r="H157" s="27">
        <v>1</v>
      </c>
      <c r="I157" s="27">
        <f t="shared" si="6"/>
        <v>0</v>
      </c>
      <c r="J157" s="26"/>
    </row>
    <row r="158" spans="1:10" ht="12.75" x14ac:dyDescent="0.2">
      <c r="A158" s="30">
        <v>45943</v>
      </c>
      <c r="B158" s="26" t="s">
        <v>50</v>
      </c>
      <c r="C158" s="12" t="s">
        <v>15</v>
      </c>
      <c r="D158" s="26" t="s">
        <v>237</v>
      </c>
      <c r="E158" s="13" t="s">
        <v>53</v>
      </c>
      <c r="F158" s="13" t="s">
        <v>75</v>
      </c>
      <c r="G158" s="27">
        <v>3</v>
      </c>
      <c r="H158" s="27">
        <v>4</v>
      </c>
      <c r="I158" s="27">
        <f t="shared" si="6"/>
        <v>1</v>
      </c>
      <c r="J158" s="26"/>
    </row>
    <row r="159" spans="1:10" ht="12.75" x14ac:dyDescent="0.2">
      <c r="A159" s="30">
        <v>45944</v>
      </c>
      <c r="B159" s="26" t="s">
        <v>50</v>
      </c>
      <c r="C159" s="12" t="s">
        <v>15</v>
      </c>
      <c r="D159" s="26" t="s">
        <v>151</v>
      </c>
      <c r="E159" s="13" t="s">
        <v>45</v>
      </c>
      <c r="F159" s="13" t="s">
        <v>340</v>
      </c>
      <c r="G159" s="27">
        <v>1</v>
      </c>
      <c r="H159" s="27">
        <v>1</v>
      </c>
      <c r="I159" s="27">
        <f t="shared" si="6"/>
        <v>0</v>
      </c>
      <c r="J159" s="26"/>
    </row>
    <row r="160" spans="1:10" ht="12.75" x14ac:dyDescent="0.2">
      <c r="A160" s="30">
        <v>45944</v>
      </c>
      <c r="B160" s="26" t="s">
        <v>50</v>
      </c>
      <c r="C160" s="12" t="s">
        <v>15</v>
      </c>
      <c r="D160" s="26" t="s">
        <v>192</v>
      </c>
      <c r="E160" s="13" t="s">
        <v>45</v>
      </c>
      <c r="F160" s="13" t="s">
        <v>340</v>
      </c>
      <c r="G160" s="27">
        <v>1</v>
      </c>
      <c r="H160" s="27">
        <v>1</v>
      </c>
      <c r="I160" s="27">
        <f t="shared" si="6"/>
        <v>0</v>
      </c>
      <c r="J160" s="26"/>
    </row>
    <row r="161" spans="1:10" ht="12.75" x14ac:dyDescent="0.2">
      <c r="A161" s="30">
        <v>45944</v>
      </c>
      <c r="B161" s="26" t="s">
        <v>50</v>
      </c>
      <c r="C161" s="12" t="s">
        <v>15</v>
      </c>
      <c r="D161" s="26" t="s">
        <v>237</v>
      </c>
      <c r="E161" s="13" t="s">
        <v>53</v>
      </c>
      <c r="F161" s="13" t="s">
        <v>75</v>
      </c>
      <c r="G161" s="27">
        <v>1</v>
      </c>
      <c r="H161" s="27">
        <v>1</v>
      </c>
      <c r="I161" s="27">
        <f t="shared" si="6"/>
        <v>0</v>
      </c>
      <c r="J161" s="26" t="s">
        <v>238</v>
      </c>
    </row>
    <row r="162" spans="1:10" ht="12.75" x14ac:dyDescent="0.2">
      <c r="A162" s="30">
        <v>45944</v>
      </c>
      <c r="B162" s="26" t="s">
        <v>50</v>
      </c>
      <c r="C162" s="12" t="s">
        <v>15</v>
      </c>
      <c r="D162" s="26" t="s">
        <v>85</v>
      </c>
      <c r="E162" s="13" t="s">
        <v>61</v>
      </c>
      <c r="F162" s="13" t="s">
        <v>41</v>
      </c>
      <c r="G162" s="27">
        <v>1</v>
      </c>
      <c r="H162" s="27">
        <v>1</v>
      </c>
      <c r="I162" s="27">
        <f t="shared" si="6"/>
        <v>0</v>
      </c>
      <c r="J162" s="26"/>
    </row>
    <row r="163" spans="1:10" ht="12.75" x14ac:dyDescent="0.2">
      <c r="A163" s="30">
        <v>45944</v>
      </c>
      <c r="B163" s="26" t="s">
        <v>50</v>
      </c>
      <c r="C163" s="12" t="s">
        <v>15</v>
      </c>
      <c r="D163" s="26" t="s">
        <v>237</v>
      </c>
      <c r="E163" s="13" t="s">
        <v>53</v>
      </c>
      <c r="F163" s="13" t="s">
        <v>75</v>
      </c>
      <c r="G163" s="27">
        <v>3</v>
      </c>
      <c r="H163" s="27">
        <v>4</v>
      </c>
      <c r="I163" s="27">
        <f t="shared" si="6"/>
        <v>1</v>
      </c>
      <c r="J163" s="26" t="s">
        <v>238</v>
      </c>
    </row>
    <row r="164" spans="1:10" s="52" customFormat="1" ht="12.75" x14ac:dyDescent="0.2">
      <c r="A164" s="30">
        <v>45945</v>
      </c>
      <c r="B164" s="26" t="s">
        <v>50</v>
      </c>
      <c r="C164" s="12" t="s">
        <v>15</v>
      </c>
      <c r="D164" s="26" t="s">
        <v>237</v>
      </c>
      <c r="E164" s="13" t="s">
        <v>53</v>
      </c>
      <c r="F164" s="13" t="s">
        <v>75</v>
      </c>
      <c r="G164" s="27">
        <v>3</v>
      </c>
      <c r="H164" s="27">
        <v>3</v>
      </c>
      <c r="I164" s="27">
        <f t="shared" si="6"/>
        <v>0</v>
      </c>
      <c r="J164" s="26" t="s">
        <v>238</v>
      </c>
    </row>
    <row r="165" spans="1:10" s="52" customFormat="1" ht="12.75" x14ac:dyDescent="0.2">
      <c r="A165" s="30">
        <v>45945</v>
      </c>
      <c r="B165" s="26" t="s">
        <v>50</v>
      </c>
      <c r="C165" s="12" t="s">
        <v>15</v>
      </c>
      <c r="D165" s="26" t="s">
        <v>85</v>
      </c>
      <c r="E165" s="13" t="s">
        <v>61</v>
      </c>
      <c r="F165" s="13" t="s">
        <v>41</v>
      </c>
      <c r="G165" s="27">
        <v>1</v>
      </c>
      <c r="H165" s="27">
        <v>1</v>
      </c>
      <c r="I165" s="27">
        <f t="shared" si="6"/>
        <v>0</v>
      </c>
      <c r="J165" s="26"/>
    </row>
    <row r="166" spans="1:10" ht="12.75" x14ac:dyDescent="0.2">
      <c r="A166" s="30">
        <v>45945</v>
      </c>
      <c r="B166" s="26" t="s">
        <v>50</v>
      </c>
      <c r="C166" s="12" t="s">
        <v>15</v>
      </c>
      <c r="D166" s="26" t="s">
        <v>237</v>
      </c>
      <c r="E166" s="13" t="s">
        <v>53</v>
      </c>
      <c r="F166" s="13" t="s">
        <v>75</v>
      </c>
      <c r="G166" s="27">
        <v>3</v>
      </c>
      <c r="H166" s="27">
        <v>3</v>
      </c>
      <c r="I166" s="27">
        <f t="shared" si="6"/>
        <v>0</v>
      </c>
      <c r="J166" s="26" t="s">
        <v>239</v>
      </c>
    </row>
    <row r="167" spans="1:10" s="52" customFormat="1" ht="12.75" x14ac:dyDescent="0.2">
      <c r="A167" s="30">
        <v>45946</v>
      </c>
      <c r="B167" s="26" t="s">
        <v>50</v>
      </c>
      <c r="C167" s="12" t="s">
        <v>15</v>
      </c>
      <c r="D167" s="26" t="s">
        <v>237</v>
      </c>
      <c r="E167" s="13" t="s">
        <v>53</v>
      </c>
      <c r="F167" s="13" t="s">
        <v>75</v>
      </c>
      <c r="G167" s="27">
        <v>3</v>
      </c>
      <c r="H167" s="27">
        <v>3</v>
      </c>
      <c r="I167" s="27">
        <f t="shared" si="6"/>
        <v>0</v>
      </c>
      <c r="J167" s="26" t="s">
        <v>239</v>
      </c>
    </row>
    <row r="168" spans="1:10" s="52" customFormat="1" ht="12.75" x14ac:dyDescent="0.2">
      <c r="A168" s="30">
        <v>45946</v>
      </c>
      <c r="B168" s="26" t="s">
        <v>50</v>
      </c>
      <c r="C168" s="12" t="s">
        <v>15</v>
      </c>
      <c r="D168" s="26" t="s">
        <v>85</v>
      </c>
      <c r="E168" s="13" t="s">
        <v>61</v>
      </c>
      <c r="F168" s="13" t="s">
        <v>41</v>
      </c>
      <c r="G168" s="27">
        <v>1</v>
      </c>
      <c r="H168" s="27">
        <v>1</v>
      </c>
      <c r="I168" s="27">
        <f t="shared" si="6"/>
        <v>0</v>
      </c>
      <c r="J168" s="26"/>
    </row>
    <row r="169" spans="1:10" s="52" customFormat="1" ht="12.75" x14ac:dyDescent="0.2">
      <c r="A169" s="30">
        <v>45946</v>
      </c>
      <c r="B169" s="26" t="s">
        <v>50</v>
      </c>
      <c r="C169" s="12" t="s">
        <v>15</v>
      </c>
      <c r="D169" s="26" t="s">
        <v>237</v>
      </c>
      <c r="E169" s="13" t="s">
        <v>53</v>
      </c>
      <c r="F169" s="13" t="s">
        <v>75</v>
      </c>
      <c r="G169" s="27">
        <v>3</v>
      </c>
      <c r="H169" s="27">
        <v>3</v>
      </c>
      <c r="I169" s="27">
        <f t="shared" si="6"/>
        <v>0</v>
      </c>
      <c r="J169" s="26" t="s">
        <v>240</v>
      </c>
    </row>
    <row r="170" spans="1:10" s="52" customFormat="1" ht="12.75" x14ac:dyDescent="0.2">
      <c r="A170" s="30">
        <v>45947</v>
      </c>
      <c r="B170" s="26" t="s">
        <v>50</v>
      </c>
      <c r="C170" s="12" t="s">
        <v>15</v>
      </c>
      <c r="D170" s="26" t="s">
        <v>241</v>
      </c>
      <c r="E170" s="13" t="s">
        <v>53</v>
      </c>
      <c r="F170" s="13" t="s">
        <v>75</v>
      </c>
      <c r="G170" s="27">
        <v>3</v>
      </c>
      <c r="H170" s="27">
        <v>3</v>
      </c>
      <c r="I170" s="27">
        <f t="shared" si="6"/>
        <v>0</v>
      </c>
      <c r="J170" s="26" t="s">
        <v>242</v>
      </c>
    </row>
    <row r="171" spans="1:10" s="52" customFormat="1" ht="12.75" x14ac:dyDescent="0.2">
      <c r="A171" s="30">
        <v>45947</v>
      </c>
      <c r="B171" s="26" t="s">
        <v>50</v>
      </c>
      <c r="C171" s="12" t="s">
        <v>15</v>
      </c>
      <c r="D171" s="26" t="s">
        <v>85</v>
      </c>
      <c r="E171" s="13" t="s">
        <v>61</v>
      </c>
      <c r="F171" s="13" t="s">
        <v>41</v>
      </c>
      <c r="G171" s="27">
        <v>1</v>
      </c>
      <c r="H171" s="27">
        <v>1</v>
      </c>
      <c r="I171" s="27">
        <f t="shared" si="6"/>
        <v>0</v>
      </c>
      <c r="J171" s="26"/>
    </row>
    <row r="172" spans="1:10" s="52" customFormat="1" ht="12.75" x14ac:dyDescent="0.2">
      <c r="A172" s="30">
        <v>45947</v>
      </c>
      <c r="B172" s="26" t="s">
        <v>50</v>
      </c>
      <c r="C172" s="12" t="s">
        <v>15</v>
      </c>
      <c r="D172" s="26" t="s">
        <v>237</v>
      </c>
      <c r="E172" s="13" t="s">
        <v>53</v>
      </c>
      <c r="F172" s="13" t="s">
        <v>75</v>
      </c>
      <c r="G172" s="27">
        <v>3</v>
      </c>
      <c r="H172" s="27">
        <v>4</v>
      </c>
      <c r="I172" s="27">
        <f t="shared" si="6"/>
        <v>1</v>
      </c>
      <c r="J172" s="26" t="s">
        <v>240</v>
      </c>
    </row>
    <row r="173" spans="1:10" ht="12.75" x14ac:dyDescent="0.2">
      <c r="A173" s="18"/>
      <c r="B173" s="20"/>
      <c r="C173" s="20"/>
      <c r="D173" s="20"/>
      <c r="E173" s="20" t="s">
        <v>16</v>
      </c>
      <c r="F173" s="20"/>
      <c r="G173" s="23">
        <f>SUM(G155:G172)</f>
        <v>36</v>
      </c>
      <c r="H173" s="23">
        <f>SUM(H155:H172)</f>
        <v>39</v>
      </c>
      <c r="I173" s="23">
        <f t="shared" si="6"/>
        <v>3</v>
      </c>
      <c r="J173" s="20"/>
    </row>
    <row r="174" spans="1:10" ht="12.75" x14ac:dyDescent="0.2">
      <c r="A174" s="58" t="s">
        <v>24</v>
      </c>
      <c r="B174" s="56"/>
      <c r="C174" s="56"/>
      <c r="D174" s="56"/>
      <c r="E174" s="56"/>
      <c r="F174" s="56"/>
      <c r="G174" s="56"/>
      <c r="H174" s="56"/>
      <c r="I174" s="56"/>
      <c r="J174" s="57"/>
    </row>
    <row r="175" spans="1:10" ht="12.75" x14ac:dyDescent="0.2">
      <c r="A175" s="39" t="s">
        <v>11</v>
      </c>
      <c r="B175" s="59" t="s">
        <v>12</v>
      </c>
      <c r="C175" s="60"/>
      <c r="D175" s="60"/>
      <c r="E175" s="60"/>
      <c r="F175" s="60"/>
      <c r="G175" s="60"/>
      <c r="H175" s="60"/>
      <c r="I175" s="60"/>
      <c r="J175" s="61"/>
    </row>
    <row r="176" spans="1:10" ht="27.75" customHeight="1" x14ac:dyDescent="0.2">
      <c r="A176" s="40" t="s">
        <v>13</v>
      </c>
      <c r="B176" s="62" t="s">
        <v>14</v>
      </c>
      <c r="C176" s="60"/>
      <c r="D176" s="60"/>
      <c r="E176" s="60"/>
      <c r="F176" s="60"/>
      <c r="G176" s="60"/>
      <c r="H176" s="60"/>
      <c r="I176" s="60"/>
      <c r="J176" s="61"/>
    </row>
    <row r="177" spans="1:10" ht="12.75" x14ac:dyDescent="0.2">
      <c r="A177" s="30">
        <v>45950</v>
      </c>
      <c r="B177" s="26" t="s">
        <v>50</v>
      </c>
      <c r="C177" s="12" t="s">
        <v>15</v>
      </c>
      <c r="D177" s="26" t="s">
        <v>243</v>
      </c>
      <c r="E177" s="13" t="s">
        <v>51</v>
      </c>
      <c r="F177" s="13" t="s">
        <v>75</v>
      </c>
      <c r="G177" s="27">
        <v>4</v>
      </c>
      <c r="H177" s="27">
        <v>3</v>
      </c>
      <c r="I177" s="27">
        <f t="shared" ref="I177:I194" si="7">H177-G177</f>
        <v>-1</v>
      </c>
      <c r="J177" s="26" t="s">
        <v>244</v>
      </c>
    </row>
    <row r="178" spans="1:10" ht="12.75" x14ac:dyDescent="0.2">
      <c r="A178" s="30">
        <v>45950</v>
      </c>
      <c r="B178" s="26" t="s">
        <v>50</v>
      </c>
      <c r="C178" s="12" t="s">
        <v>15</v>
      </c>
      <c r="D178" s="26" t="s">
        <v>85</v>
      </c>
      <c r="E178" s="13" t="s">
        <v>61</v>
      </c>
      <c r="F178" s="13" t="s">
        <v>41</v>
      </c>
      <c r="G178" s="27">
        <v>1</v>
      </c>
      <c r="H178" s="27">
        <v>1</v>
      </c>
      <c r="I178" s="27">
        <f t="shared" si="7"/>
        <v>0</v>
      </c>
      <c r="J178" s="26"/>
    </row>
    <row r="179" spans="1:10" ht="12.75" x14ac:dyDescent="0.2">
      <c r="A179" s="30">
        <v>45950</v>
      </c>
      <c r="B179" s="26" t="s">
        <v>50</v>
      </c>
      <c r="C179" s="12" t="s">
        <v>15</v>
      </c>
      <c r="D179" s="26" t="s">
        <v>245</v>
      </c>
      <c r="E179" s="13" t="s">
        <v>53</v>
      </c>
      <c r="F179" s="13" t="s">
        <v>74</v>
      </c>
      <c r="G179" s="27">
        <v>3</v>
      </c>
      <c r="H179" s="27">
        <v>4</v>
      </c>
      <c r="I179" s="27">
        <f t="shared" si="7"/>
        <v>1</v>
      </c>
      <c r="J179" s="26" t="s">
        <v>246</v>
      </c>
    </row>
    <row r="180" spans="1:10" ht="12.75" x14ac:dyDescent="0.2">
      <c r="A180" s="30">
        <v>45951</v>
      </c>
      <c r="B180" s="26" t="s">
        <v>50</v>
      </c>
      <c r="C180" s="12" t="s">
        <v>15</v>
      </c>
      <c r="D180" s="26" t="s">
        <v>151</v>
      </c>
      <c r="E180" s="13" t="s">
        <v>45</v>
      </c>
      <c r="F180" s="13" t="s">
        <v>340</v>
      </c>
      <c r="G180" s="27">
        <v>1</v>
      </c>
      <c r="H180" s="27">
        <v>1</v>
      </c>
      <c r="I180" s="27">
        <f t="shared" si="7"/>
        <v>0</v>
      </c>
      <c r="J180" s="26"/>
    </row>
    <row r="181" spans="1:10" ht="12.75" x14ac:dyDescent="0.2">
      <c r="A181" s="30">
        <v>45951</v>
      </c>
      <c r="B181" s="26" t="s">
        <v>50</v>
      </c>
      <c r="C181" s="12" t="s">
        <v>15</v>
      </c>
      <c r="D181" s="26" t="s">
        <v>192</v>
      </c>
      <c r="E181" s="13" t="s">
        <v>45</v>
      </c>
      <c r="F181" s="13" t="s">
        <v>340</v>
      </c>
      <c r="G181" s="27">
        <v>1</v>
      </c>
      <c r="H181" s="27">
        <v>1</v>
      </c>
      <c r="I181" s="27">
        <f t="shared" si="7"/>
        <v>0</v>
      </c>
      <c r="J181" s="26"/>
    </row>
    <row r="182" spans="1:10" ht="12.75" x14ac:dyDescent="0.2">
      <c r="A182" s="30">
        <v>45951</v>
      </c>
      <c r="B182" s="26" t="s">
        <v>50</v>
      </c>
      <c r="C182" s="12" t="s">
        <v>15</v>
      </c>
      <c r="D182" s="26" t="s">
        <v>245</v>
      </c>
      <c r="E182" s="13" t="s">
        <v>53</v>
      </c>
      <c r="F182" s="13" t="s">
        <v>74</v>
      </c>
      <c r="G182" s="27">
        <v>2</v>
      </c>
      <c r="H182" s="27">
        <v>2</v>
      </c>
      <c r="I182" s="27">
        <f t="shared" si="7"/>
        <v>0</v>
      </c>
      <c r="J182" s="26" t="s">
        <v>246</v>
      </c>
    </row>
    <row r="183" spans="1:10" ht="12.75" x14ac:dyDescent="0.2">
      <c r="A183" s="30">
        <v>45951</v>
      </c>
      <c r="B183" s="26" t="s">
        <v>50</v>
      </c>
      <c r="C183" s="12" t="s">
        <v>15</v>
      </c>
      <c r="D183" s="26" t="s">
        <v>85</v>
      </c>
      <c r="E183" s="13" t="s">
        <v>61</v>
      </c>
      <c r="F183" s="13" t="s">
        <v>41</v>
      </c>
      <c r="G183" s="27">
        <v>1</v>
      </c>
      <c r="H183" s="27">
        <v>1</v>
      </c>
      <c r="I183" s="27">
        <f t="shared" si="7"/>
        <v>0</v>
      </c>
      <c r="J183" s="26"/>
    </row>
    <row r="184" spans="1:10" ht="12.75" x14ac:dyDescent="0.2">
      <c r="A184" s="30">
        <v>45951</v>
      </c>
      <c r="B184" s="26" t="s">
        <v>50</v>
      </c>
      <c r="C184" s="12" t="s">
        <v>15</v>
      </c>
      <c r="D184" s="26" t="s">
        <v>245</v>
      </c>
      <c r="E184" s="13" t="s">
        <v>53</v>
      </c>
      <c r="F184" s="13" t="s">
        <v>74</v>
      </c>
      <c r="G184" s="27">
        <v>4</v>
      </c>
      <c r="H184" s="27">
        <v>3</v>
      </c>
      <c r="I184" s="27">
        <f t="shared" si="7"/>
        <v>-1</v>
      </c>
      <c r="J184" s="26" t="s">
        <v>246</v>
      </c>
    </row>
    <row r="185" spans="1:10" ht="12.75" x14ac:dyDescent="0.2">
      <c r="A185" s="30">
        <v>45952</v>
      </c>
      <c r="B185" s="26" t="s">
        <v>50</v>
      </c>
      <c r="C185" s="12" t="s">
        <v>15</v>
      </c>
      <c r="D185" s="26" t="s">
        <v>249</v>
      </c>
      <c r="E185" s="13" t="s">
        <v>53</v>
      </c>
      <c r="F185" s="13" t="s">
        <v>74</v>
      </c>
      <c r="G185" s="27">
        <v>3</v>
      </c>
      <c r="H185" s="27">
        <v>3</v>
      </c>
      <c r="I185" s="27">
        <f t="shared" si="7"/>
        <v>0</v>
      </c>
      <c r="J185" s="26" t="s">
        <v>250</v>
      </c>
    </row>
    <row r="186" spans="1:10" s="52" customFormat="1" ht="12.75" x14ac:dyDescent="0.2">
      <c r="A186" s="30">
        <v>45952</v>
      </c>
      <c r="B186" s="26" t="s">
        <v>50</v>
      </c>
      <c r="C186" s="12" t="s">
        <v>15</v>
      </c>
      <c r="D186" s="26" t="s">
        <v>85</v>
      </c>
      <c r="E186" s="13" t="s">
        <v>61</v>
      </c>
      <c r="F186" s="13" t="s">
        <v>41</v>
      </c>
      <c r="G186" s="27">
        <v>1</v>
      </c>
      <c r="H186" s="27">
        <v>1</v>
      </c>
      <c r="I186" s="27">
        <v>0</v>
      </c>
      <c r="J186" s="26"/>
    </row>
    <row r="187" spans="1:10" s="52" customFormat="1" ht="12.75" x14ac:dyDescent="0.2">
      <c r="A187" s="30">
        <v>45952</v>
      </c>
      <c r="B187" s="26" t="s">
        <v>50</v>
      </c>
      <c r="C187" s="12" t="s">
        <v>15</v>
      </c>
      <c r="D187" s="26" t="s">
        <v>247</v>
      </c>
      <c r="E187" s="13" t="s">
        <v>53</v>
      </c>
      <c r="F187" s="13" t="s">
        <v>341</v>
      </c>
      <c r="G187" s="27">
        <v>4</v>
      </c>
      <c r="H187" s="27">
        <v>4</v>
      </c>
      <c r="I187" s="27">
        <v>0</v>
      </c>
      <c r="J187" s="26" t="s">
        <v>248</v>
      </c>
    </row>
    <row r="188" spans="1:10" s="52" customFormat="1" ht="12.75" x14ac:dyDescent="0.2">
      <c r="A188" s="30">
        <v>45953</v>
      </c>
      <c r="B188" s="26" t="s">
        <v>50</v>
      </c>
      <c r="C188" s="12" t="s">
        <v>15</v>
      </c>
      <c r="D188" s="26" t="s">
        <v>251</v>
      </c>
      <c r="E188" s="13" t="s">
        <v>45</v>
      </c>
      <c r="F188" s="13" t="s">
        <v>340</v>
      </c>
      <c r="G188" s="27">
        <v>3</v>
      </c>
      <c r="H188" s="27">
        <v>3</v>
      </c>
      <c r="I188" s="27">
        <v>0</v>
      </c>
      <c r="J188" s="26" t="s">
        <v>252</v>
      </c>
    </row>
    <row r="189" spans="1:10" s="52" customFormat="1" ht="12.75" x14ac:dyDescent="0.2">
      <c r="A189" s="30">
        <v>45953</v>
      </c>
      <c r="B189" s="26" t="s">
        <v>50</v>
      </c>
      <c r="C189" s="12" t="s">
        <v>15</v>
      </c>
      <c r="D189" s="26" t="s">
        <v>85</v>
      </c>
      <c r="E189" s="13" t="s">
        <v>61</v>
      </c>
      <c r="F189" s="13" t="s">
        <v>41</v>
      </c>
      <c r="G189" s="27">
        <v>1</v>
      </c>
      <c r="H189" s="27">
        <v>1</v>
      </c>
      <c r="I189" s="27">
        <v>0</v>
      </c>
      <c r="J189" s="26"/>
    </row>
    <row r="190" spans="1:10" s="52" customFormat="1" ht="12.75" x14ac:dyDescent="0.2">
      <c r="A190" s="30">
        <v>45953</v>
      </c>
      <c r="B190" s="26" t="s">
        <v>50</v>
      </c>
      <c r="C190" s="12" t="s">
        <v>15</v>
      </c>
      <c r="D190" s="26" t="s">
        <v>249</v>
      </c>
      <c r="E190" s="13" t="s">
        <v>53</v>
      </c>
      <c r="F190" s="13" t="s">
        <v>74</v>
      </c>
      <c r="G190" s="27">
        <v>3</v>
      </c>
      <c r="H190" s="27">
        <v>3</v>
      </c>
      <c r="I190" s="27">
        <v>0</v>
      </c>
      <c r="J190" s="26" t="s">
        <v>250</v>
      </c>
    </row>
    <row r="191" spans="1:10" s="52" customFormat="1" ht="12.75" x14ac:dyDescent="0.2">
      <c r="A191" s="30">
        <v>45954</v>
      </c>
      <c r="B191" s="26" t="s">
        <v>50</v>
      </c>
      <c r="C191" s="12" t="s">
        <v>15</v>
      </c>
      <c r="D191" s="26" t="s">
        <v>249</v>
      </c>
      <c r="E191" s="13" t="s">
        <v>53</v>
      </c>
      <c r="F191" s="13" t="s">
        <v>74</v>
      </c>
      <c r="G191" s="27">
        <v>3</v>
      </c>
      <c r="H191" s="27">
        <v>3</v>
      </c>
      <c r="I191" s="27">
        <v>0</v>
      </c>
      <c r="J191" s="26" t="s">
        <v>250</v>
      </c>
    </row>
    <row r="192" spans="1:10" s="52" customFormat="1" ht="12.75" x14ac:dyDescent="0.2">
      <c r="A192" s="30">
        <v>45954</v>
      </c>
      <c r="B192" s="26" t="s">
        <v>50</v>
      </c>
      <c r="C192" s="12" t="s">
        <v>15</v>
      </c>
      <c r="D192" s="26" t="s">
        <v>85</v>
      </c>
      <c r="E192" s="13" t="s">
        <v>61</v>
      </c>
      <c r="F192" s="13" t="s">
        <v>41</v>
      </c>
      <c r="G192" s="27">
        <v>1</v>
      </c>
      <c r="H192" s="27">
        <v>1</v>
      </c>
      <c r="I192" s="27">
        <v>0</v>
      </c>
      <c r="J192" s="26"/>
    </row>
    <row r="193" spans="1:10" ht="12.75" x14ac:dyDescent="0.2">
      <c r="A193" s="30">
        <v>45954</v>
      </c>
      <c r="B193" s="26" t="s">
        <v>50</v>
      </c>
      <c r="C193" s="12" t="s">
        <v>15</v>
      </c>
      <c r="D193" s="26" t="s">
        <v>253</v>
      </c>
      <c r="E193" s="13" t="s">
        <v>53</v>
      </c>
      <c r="F193" s="13" t="s">
        <v>73</v>
      </c>
      <c r="G193" s="27">
        <v>3</v>
      </c>
      <c r="H193" s="27">
        <v>3</v>
      </c>
      <c r="I193" s="27">
        <v>0</v>
      </c>
      <c r="J193" s="26"/>
    </row>
    <row r="194" spans="1:10" ht="12.75" x14ac:dyDescent="0.2">
      <c r="A194" s="18"/>
      <c r="B194" s="20"/>
      <c r="C194" s="20"/>
      <c r="D194" s="20"/>
      <c r="E194" s="20" t="s">
        <v>16</v>
      </c>
      <c r="F194" s="20"/>
      <c r="G194" s="23">
        <f t="shared" ref="G194:H194" si="8">SUM(G177:G193)</f>
        <v>39</v>
      </c>
      <c r="H194" s="23">
        <f t="shared" si="8"/>
        <v>38</v>
      </c>
      <c r="I194" s="23">
        <f t="shared" si="7"/>
        <v>-1</v>
      </c>
      <c r="J194" s="20"/>
    </row>
    <row r="195" spans="1:10" ht="18.75" customHeight="1" x14ac:dyDescent="0.2">
      <c r="A195" s="73" t="s">
        <v>62</v>
      </c>
      <c r="B195" s="60"/>
      <c r="C195" s="60"/>
      <c r="D195" s="60"/>
      <c r="E195" s="60"/>
      <c r="F195" s="60"/>
      <c r="G195" s="60"/>
      <c r="H195" s="60"/>
      <c r="I195" s="60"/>
      <c r="J195" s="60"/>
    </row>
    <row r="196" spans="1:10" ht="12.75" x14ac:dyDescent="0.2">
      <c r="A196" s="7" t="s">
        <v>11</v>
      </c>
      <c r="B196" s="74" t="s">
        <v>12</v>
      </c>
      <c r="C196" s="56"/>
      <c r="D196" s="56"/>
      <c r="E196" s="56"/>
      <c r="F196" s="56"/>
      <c r="G196" s="56"/>
      <c r="H196" s="56"/>
      <c r="I196" s="56"/>
      <c r="J196" s="57"/>
    </row>
    <row r="197" spans="1:10" ht="27.75" customHeight="1" x14ac:dyDescent="0.2">
      <c r="A197" s="10" t="s">
        <v>13</v>
      </c>
      <c r="B197" s="74" t="s">
        <v>14</v>
      </c>
      <c r="C197" s="56"/>
      <c r="D197" s="56"/>
      <c r="E197" s="56"/>
      <c r="F197" s="56"/>
      <c r="G197" s="56"/>
      <c r="H197" s="56"/>
      <c r="I197" s="56"/>
      <c r="J197" s="57"/>
    </row>
    <row r="198" spans="1:10" ht="12.75" x14ac:dyDescent="0.2">
      <c r="A198" s="30">
        <v>45957</v>
      </c>
      <c r="B198" s="26" t="s">
        <v>50</v>
      </c>
      <c r="C198" s="12" t="s">
        <v>15</v>
      </c>
      <c r="D198" s="26" t="s">
        <v>253</v>
      </c>
      <c r="E198" s="13" t="s">
        <v>53</v>
      </c>
      <c r="F198" s="13" t="s">
        <v>73</v>
      </c>
      <c r="G198" s="27">
        <v>3</v>
      </c>
      <c r="H198" s="27">
        <v>3</v>
      </c>
      <c r="I198" s="27">
        <f t="shared" ref="I198:I216" si="9">H198-G198</f>
        <v>0</v>
      </c>
      <c r="J198" s="26"/>
    </row>
    <row r="199" spans="1:10" ht="12.75" x14ac:dyDescent="0.2">
      <c r="A199" s="30">
        <v>45957</v>
      </c>
      <c r="B199" s="26" t="s">
        <v>50</v>
      </c>
      <c r="C199" s="12" t="s">
        <v>15</v>
      </c>
      <c r="D199" s="26" t="s">
        <v>85</v>
      </c>
      <c r="E199" s="13" t="s">
        <v>61</v>
      </c>
      <c r="F199" s="13" t="s">
        <v>41</v>
      </c>
      <c r="G199" s="27">
        <v>1</v>
      </c>
      <c r="H199" s="27">
        <v>1</v>
      </c>
      <c r="I199" s="27">
        <f t="shared" si="9"/>
        <v>0</v>
      </c>
      <c r="J199" s="15"/>
    </row>
    <row r="200" spans="1:10" ht="12.75" x14ac:dyDescent="0.2">
      <c r="A200" s="30">
        <v>45957</v>
      </c>
      <c r="B200" s="26" t="s">
        <v>50</v>
      </c>
      <c r="C200" s="12" t="s">
        <v>15</v>
      </c>
      <c r="D200" s="26" t="s">
        <v>254</v>
      </c>
      <c r="E200" s="13" t="s">
        <v>53</v>
      </c>
      <c r="F200" s="13" t="s">
        <v>73</v>
      </c>
      <c r="G200" s="27">
        <v>4</v>
      </c>
      <c r="H200" s="27">
        <v>4</v>
      </c>
      <c r="I200" s="27">
        <f t="shared" si="9"/>
        <v>0</v>
      </c>
      <c r="J200" s="15" t="s">
        <v>255</v>
      </c>
    </row>
    <row r="201" spans="1:10" ht="12.75" x14ac:dyDescent="0.2">
      <c r="A201" s="30">
        <v>45958</v>
      </c>
      <c r="B201" s="26" t="s">
        <v>50</v>
      </c>
      <c r="C201" s="12" t="s">
        <v>15</v>
      </c>
      <c r="D201" s="26" t="s">
        <v>151</v>
      </c>
      <c r="E201" s="13" t="s">
        <v>45</v>
      </c>
      <c r="F201" s="13" t="s">
        <v>340</v>
      </c>
      <c r="G201" s="27">
        <v>1</v>
      </c>
      <c r="H201" s="27">
        <v>1</v>
      </c>
      <c r="I201" s="27">
        <f t="shared" si="9"/>
        <v>0</v>
      </c>
      <c r="J201" s="15"/>
    </row>
    <row r="202" spans="1:10" ht="12.75" x14ac:dyDescent="0.2">
      <c r="A202" s="30">
        <v>45958</v>
      </c>
      <c r="B202" s="26" t="s">
        <v>50</v>
      </c>
      <c r="C202" s="12" t="s">
        <v>15</v>
      </c>
      <c r="D202" s="26" t="s">
        <v>192</v>
      </c>
      <c r="E202" s="13" t="s">
        <v>45</v>
      </c>
      <c r="F202" s="13" t="s">
        <v>340</v>
      </c>
      <c r="G202" s="27">
        <v>1</v>
      </c>
      <c r="H202" s="27">
        <v>1</v>
      </c>
      <c r="I202" s="27">
        <f t="shared" si="9"/>
        <v>0</v>
      </c>
      <c r="J202" s="15"/>
    </row>
    <row r="203" spans="1:10" ht="12.75" x14ac:dyDescent="0.2">
      <c r="A203" s="30">
        <v>45958</v>
      </c>
      <c r="B203" s="26" t="s">
        <v>50</v>
      </c>
      <c r="C203" s="12" t="s">
        <v>15</v>
      </c>
      <c r="D203" s="26" t="s">
        <v>254</v>
      </c>
      <c r="E203" s="13" t="s">
        <v>53</v>
      </c>
      <c r="F203" s="13" t="s">
        <v>74</v>
      </c>
      <c r="G203" s="27">
        <v>3</v>
      </c>
      <c r="H203" s="27">
        <v>2</v>
      </c>
      <c r="I203" s="27">
        <f t="shared" si="9"/>
        <v>-1</v>
      </c>
      <c r="J203" s="15" t="s">
        <v>246</v>
      </c>
    </row>
    <row r="204" spans="1:10" ht="12.75" x14ac:dyDescent="0.2">
      <c r="A204" s="30">
        <v>45958</v>
      </c>
      <c r="B204" s="26" t="s">
        <v>50</v>
      </c>
      <c r="C204" s="12" t="s">
        <v>15</v>
      </c>
      <c r="D204" s="26" t="s">
        <v>85</v>
      </c>
      <c r="E204" s="13" t="s">
        <v>61</v>
      </c>
      <c r="F204" s="13" t="s">
        <v>41</v>
      </c>
      <c r="G204" s="27">
        <v>1</v>
      </c>
      <c r="H204" s="27">
        <v>1</v>
      </c>
      <c r="I204" s="27">
        <f t="shared" si="9"/>
        <v>0</v>
      </c>
      <c r="J204" s="15"/>
    </row>
    <row r="205" spans="1:10" ht="12.75" x14ac:dyDescent="0.2">
      <c r="A205" s="30">
        <v>45958</v>
      </c>
      <c r="B205" s="26" t="s">
        <v>50</v>
      </c>
      <c r="C205" s="12" t="s">
        <v>15</v>
      </c>
      <c r="D205" s="26" t="s">
        <v>254</v>
      </c>
      <c r="E205" s="13" t="s">
        <v>53</v>
      </c>
      <c r="F205" s="13" t="s">
        <v>74</v>
      </c>
      <c r="G205" s="27">
        <v>3</v>
      </c>
      <c r="H205" s="27">
        <v>3</v>
      </c>
      <c r="I205" s="27">
        <f t="shared" si="9"/>
        <v>0</v>
      </c>
      <c r="J205" s="15" t="s">
        <v>246</v>
      </c>
    </row>
    <row r="206" spans="1:10" ht="12.75" x14ac:dyDescent="0.2">
      <c r="A206" s="30">
        <v>45959</v>
      </c>
      <c r="B206" s="26" t="s">
        <v>50</v>
      </c>
      <c r="C206" s="12" t="s">
        <v>15</v>
      </c>
      <c r="D206" s="26" t="s">
        <v>254</v>
      </c>
      <c r="E206" s="13" t="s">
        <v>53</v>
      </c>
      <c r="F206" s="80" t="s">
        <v>74</v>
      </c>
      <c r="G206" s="27">
        <v>3</v>
      </c>
      <c r="H206" s="27">
        <v>3</v>
      </c>
      <c r="I206" s="27">
        <f t="shared" si="9"/>
        <v>0</v>
      </c>
      <c r="J206" s="15" t="s">
        <v>256</v>
      </c>
    </row>
    <row r="207" spans="1:10" ht="12.75" x14ac:dyDescent="0.2">
      <c r="A207" s="30">
        <v>45959</v>
      </c>
      <c r="B207" s="26" t="s">
        <v>50</v>
      </c>
      <c r="C207" s="12" t="s">
        <v>15</v>
      </c>
      <c r="D207" s="26" t="s">
        <v>85</v>
      </c>
      <c r="E207" s="13" t="s">
        <v>61</v>
      </c>
      <c r="F207" s="13" t="s">
        <v>41</v>
      </c>
      <c r="G207" s="27">
        <v>1</v>
      </c>
      <c r="H207" s="27">
        <v>1</v>
      </c>
      <c r="I207" s="27">
        <f t="shared" si="9"/>
        <v>0</v>
      </c>
      <c r="J207" s="15"/>
    </row>
    <row r="208" spans="1:10" s="53" customFormat="1" ht="12.75" x14ac:dyDescent="0.2">
      <c r="A208" s="30">
        <v>45959</v>
      </c>
      <c r="B208" s="26" t="s">
        <v>50</v>
      </c>
      <c r="C208" s="12" t="s">
        <v>15</v>
      </c>
      <c r="D208" s="26" t="s">
        <v>257</v>
      </c>
      <c r="E208" s="13" t="s">
        <v>53</v>
      </c>
      <c r="F208" s="13" t="s">
        <v>74</v>
      </c>
      <c r="G208" s="27">
        <v>3</v>
      </c>
      <c r="H208" s="27">
        <v>3</v>
      </c>
      <c r="I208" s="27">
        <f t="shared" si="9"/>
        <v>0</v>
      </c>
      <c r="J208" s="15" t="s">
        <v>258</v>
      </c>
    </row>
    <row r="209" spans="1:10" s="53" customFormat="1" ht="12.75" x14ac:dyDescent="0.2">
      <c r="A209" s="30">
        <v>45960</v>
      </c>
      <c r="B209" s="26" t="s">
        <v>50</v>
      </c>
      <c r="C209" s="12" t="s">
        <v>15</v>
      </c>
      <c r="D209" s="26" t="s">
        <v>259</v>
      </c>
      <c r="E209" s="13" t="s">
        <v>59</v>
      </c>
      <c r="F209" s="13" t="s">
        <v>74</v>
      </c>
      <c r="G209" s="27">
        <v>3</v>
      </c>
      <c r="H209" s="27">
        <v>3</v>
      </c>
      <c r="I209" s="27">
        <f t="shared" si="9"/>
        <v>0</v>
      </c>
      <c r="J209" s="15" t="s">
        <v>260</v>
      </c>
    </row>
    <row r="210" spans="1:10" s="53" customFormat="1" ht="12.75" x14ac:dyDescent="0.2">
      <c r="A210" s="30">
        <v>45960</v>
      </c>
      <c r="B210" s="26" t="s">
        <v>50</v>
      </c>
      <c r="C210" s="12" t="s">
        <v>15</v>
      </c>
      <c r="D210" s="26" t="s">
        <v>85</v>
      </c>
      <c r="E210" s="13" t="s">
        <v>61</v>
      </c>
      <c r="F210" s="13" t="s">
        <v>41</v>
      </c>
      <c r="G210" s="27">
        <v>1</v>
      </c>
      <c r="H210" s="27">
        <v>1</v>
      </c>
      <c r="I210" s="27">
        <f t="shared" si="9"/>
        <v>0</v>
      </c>
      <c r="J210" s="15"/>
    </row>
    <row r="211" spans="1:10" s="53" customFormat="1" ht="12.75" x14ac:dyDescent="0.2">
      <c r="A211" s="30">
        <v>45960</v>
      </c>
      <c r="B211" s="26" t="s">
        <v>50</v>
      </c>
      <c r="C211" s="12" t="s">
        <v>15</v>
      </c>
      <c r="D211" s="26" t="s">
        <v>159</v>
      </c>
      <c r="E211" s="13" t="s">
        <v>45</v>
      </c>
      <c r="F211" s="13" t="s">
        <v>340</v>
      </c>
      <c r="G211" s="27">
        <v>1</v>
      </c>
      <c r="H211" s="27">
        <v>1.5</v>
      </c>
      <c r="I211" s="27">
        <f t="shared" si="9"/>
        <v>0.5</v>
      </c>
      <c r="J211" s="15" t="s">
        <v>261</v>
      </c>
    </row>
    <row r="212" spans="1:10" s="53" customFormat="1" ht="12.75" x14ac:dyDescent="0.2">
      <c r="A212" s="30">
        <v>45960</v>
      </c>
      <c r="B212" s="26" t="s">
        <v>50</v>
      </c>
      <c r="C212" s="12" t="s">
        <v>15</v>
      </c>
      <c r="D212" s="26" t="s">
        <v>262</v>
      </c>
      <c r="E212" s="13" t="s">
        <v>53</v>
      </c>
      <c r="F212" s="13" t="s">
        <v>74</v>
      </c>
      <c r="G212" s="27">
        <v>3</v>
      </c>
      <c r="H212" s="27">
        <v>3</v>
      </c>
      <c r="I212" s="27">
        <f t="shared" si="9"/>
        <v>0</v>
      </c>
      <c r="J212" s="15"/>
    </row>
    <row r="213" spans="1:10" s="53" customFormat="1" ht="12.75" x14ac:dyDescent="0.2">
      <c r="A213" s="30">
        <v>45961</v>
      </c>
      <c r="B213" s="26" t="s">
        <v>50</v>
      </c>
      <c r="C213" s="12" t="s">
        <v>15</v>
      </c>
      <c r="D213" s="26" t="s">
        <v>263</v>
      </c>
      <c r="E213" s="13" t="s">
        <v>53</v>
      </c>
      <c r="F213" s="13" t="s">
        <v>75</v>
      </c>
      <c r="G213" s="27">
        <v>3</v>
      </c>
      <c r="H213" s="27">
        <v>3</v>
      </c>
      <c r="I213" s="27">
        <f t="shared" si="9"/>
        <v>0</v>
      </c>
      <c r="J213" s="15" t="s">
        <v>264</v>
      </c>
    </row>
    <row r="214" spans="1:10" s="53" customFormat="1" ht="12.75" x14ac:dyDescent="0.2">
      <c r="A214" s="30">
        <v>45961</v>
      </c>
      <c r="B214" s="26" t="s">
        <v>50</v>
      </c>
      <c r="C214" s="12" t="s">
        <v>15</v>
      </c>
      <c r="D214" s="26" t="s">
        <v>85</v>
      </c>
      <c r="E214" s="13" t="s">
        <v>61</v>
      </c>
      <c r="F214" s="13" t="s">
        <v>41</v>
      </c>
      <c r="G214" s="27">
        <v>1</v>
      </c>
      <c r="H214" s="27">
        <v>1</v>
      </c>
      <c r="I214" s="27">
        <f t="shared" si="9"/>
        <v>0</v>
      </c>
      <c r="J214" s="15"/>
    </row>
    <row r="215" spans="1:10" s="53" customFormat="1" ht="12.75" x14ac:dyDescent="0.2">
      <c r="A215" s="30">
        <v>45961</v>
      </c>
      <c r="B215" s="26" t="s">
        <v>50</v>
      </c>
      <c r="C215" s="12" t="s">
        <v>15</v>
      </c>
      <c r="D215" s="26" t="s">
        <v>147</v>
      </c>
      <c r="E215" s="13" t="s">
        <v>53</v>
      </c>
      <c r="F215" s="13" t="s">
        <v>75</v>
      </c>
      <c r="G215" s="27">
        <v>3</v>
      </c>
      <c r="H215" s="27">
        <v>3</v>
      </c>
      <c r="I215" s="27">
        <f t="shared" si="9"/>
        <v>0</v>
      </c>
      <c r="J215" s="15"/>
    </row>
    <row r="216" spans="1:10" ht="12.75" x14ac:dyDescent="0.2">
      <c r="A216" s="18"/>
      <c r="B216" s="20"/>
      <c r="C216" s="20"/>
      <c r="D216" s="20"/>
      <c r="E216" s="20" t="s">
        <v>16</v>
      </c>
      <c r="F216" s="20"/>
      <c r="G216" s="23">
        <f>SUM(G198:G215)</f>
        <v>39</v>
      </c>
      <c r="H216" s="23">
        <f>SUM(H198:H215)</f>
        <v>38.5</v>
      </c>
      <c r="I216" s="23">
        <f t="shared" si="9"/>
        <v>-0.5</v>
      </c>
      <c r="J216" s="20"/>
    </row>
    <row r="217" spans="1:10" ht="18.75" customHeight="1" x14ac:dyDescent="0.2">
      <c r="A217" s="75" t="s">
        <v>63</v>
      </c>
      <c r="B217" s="60"/>
      <c r="C217" s="60"/>
      <c r="D217" s="60"/>
      <c r="E217" s="60"/>
      <c r="F217" s="60"/>
      <c r="G217" s="60"/>
      <c r="H217" s="60"/>
      <c r="I217" s="60"/>
      <c r="J217" s="60"/>
    </row>
    <row r="218" spans="1:10" ht="12.75" x14ac:dyDescent="0.2">
      <c r="A218" s="43" t="s">
        <v>11</v>
      </c>
      <c r="B218" s="69" t="s">
        <v>12</v>
      </c>
      <c r="C218" s="56"/>
      <c r="D218" s="56"/>
      <c r="E218" s="56"/>
      <c r="F218" s="56"/>
      <c r="G218" s="56"/>
      <c r="H218" s="56"/>
      <c r="I218" s="56"/>
      <c r="J218" s="57"/>
    </row>
    <row r="219" spans="1:10" ht="27.75" customHeight="1" x14ac:dyDescent="0.2">
      <c r="A219" s="24" t="s">
        <v>13</v>
      </c>
      <c r="B219" s="69" t="s">
        <v>18</v>
      </c>
      <c r="C219" s="56"/>
      <c r="D219" s="56"/>
      <c r="E219" s="56"/>
      <c r="F219" s="56"/>
      <c r="G219" s="56"/>
      <c r="H219" s="56"/>
      <c r="I219" s="56"/>
      <c r="J219" s="57"/>
    </row>
    <row r="220" spans="1:10" ht="12.75" x14ac:dyDescent="0.2">
      <c r="A220" s="25">
        <v>45964</v>
      </c>
      <c r="B220" s="26" t="s">
        <v>50</v>
      </c>
      <c r="C220" s="12" t="s">
        <v>15</v>
      </c>
      <c r="D220" s="26" t="s">
        <v>147</v>
      </c>
      <c r="E220" s="13" t="s">
        <v>53</v>
      </c>
      <c r="F220" s="13" t="s">
        <v>75</v>
      </c>
      <c r="G220" s="27">
        <v>2</v>
      </c>
      <c r="H220" s="27">
        <v>2</v>
      </c>
      <c r="I220" s="27">
        <f t="shared" ref="I220:I242" si="10">H220-G220</f>
        <v>0</v>
      </c>
      <c r="J220" s="26" t="s">
        <v>153</v>
      </c>
    </row>
    <row r="221" spans="1:10" ht="12.75" x14ac:dyDescent="0.2">
      <c r="A221" s="25">
        <v>45964</v>
      </c>
      <c r="B221" s="26" t="s">
        <v>50</v>
      </c>
      <c r="C221" s="12" t="s">
        <v>15</v>
      </c>
      <c r="D221" s="26" t="s">
        <v>148</v>
      </c>
      <c r="E221" s="13" t="s">
        <v>53</v>
      </c>
      <c r="F221" s="13" t="s">
        <v>75</v>
      </c>
      <c r="G221" s="27">
        <v>2</v>
      </c>
      <c r="H221" s="27">
        <v>2</v>
      </c>
      <c r="I221" s="27">
        <f t="shared" si="10"/>
        <v>0</v>
      </c>
      <c r="J221" s="26"/>
    </row>
    <row r="222" spans="1:10" s="47" customFormat="1" ht="12.75" x14ac:dyDescent="0.2">
      <c r="A222" s="25">
        <v>45964</v>
      </c>
      <c r="B222" s="26" t="s">
        <v>50</v>
      </c>
      <c r="C222" s="12" t="s">
        <v>15</v>
      </c>
      <c r="D222" s="26" t="s">
        <v>85</v>
      </c>
      <c r="E222" s="13" t="s">
        <v>61</v>
      </c>
      <c r="F222" s="13" t="s">
        <v>41</v>
      </c>
      <c r="G222" s="27">
        <v>1</v>
      </c>
      <c r="H222" s="27">
        <v>1</v>
      </c>
      <c r="I222" s="27">
        <v>0</v>
      </c>
      <c r="J222" s="26"/>
    </row>
    <row r="223" spans="1:10" ht="12.75" x14ac:dyDescent="0.2">
      <c r="A223" s="25">
        <v>45964</v>
      </c>
      <c r="B223" s="26" t="s">
        <v>50</v>
      </c>
      <c r="C223" s="12" t="s">
        <v>15</v>
      </c>
      <c r="D223" s="26" t="s">
        <v>149</v>
      </c>
      <c r="E223" s="13" t="s">
        <v>53</v>
      </c>
      <c r="F223" s="13" t="s">
        <v>75</v>
      </c>
      <c r="G223" s="27">
        <v>2</v>
      </c>
      <c r="H223" s="27">
        <v>2</v>
      </c>
      <c r="I223" s="27">
        <f t="shared" si="10"/>
        <v>0</v>
      </c>
      <c r="J223" s="26"/>
    </row>
    <row r="224" spans="1:10" ht="12.75" x14ac:dyDescent="0.2">
      <c r="A224" s="25">
        <v>45964</v>
      </c>
      <c r="B224" s="26" t="s">
        <v>50</v>
      </c>
      <c r="C224" s="12" t="s">
        <v>15</v>
      </c>
      <c r="D224" s="26" t="s">
        <v>150</v>
      </c>
      <c r="E224" s="13" t="s">
        <v>53</v>
      </c>
      <c r="F224" s="13" t="s">
        <v>75</v>
      </c>
      <c r="G224" s="27">
        <v>2</v>
      </c>
      <c r="H224" s="27">
        <v>2</v>
      </c>
      <c r="I224" s="27">
        <f t="shared" si="10"/>
        <v>0</v>
      </c>
      <c r="J224" s="26"/>
    </row>
    <row r="225" spans="1:10" ht="12.75" x14ac:dyDescent="0.2">
      <c r="A225" s="25">
        <v>45965</v>
      </c>
      <c r="B225" s="26" t="s">
        <v>50</v>
      </c>
      <c r="C225" s="12" t="s">
        <v>15</v>
      </c>
      <c r="D225" s="26" t="s">
        <v>151</v>
      </c>
      <c r="E225" s="13" t="s">
        <v>45</v>
      </c>
      <c r="F225" s="13" t="s">
        <v>340</v>
      </c>
      <c r="G225" s="27">
        <v>1</v>
      </c>
      <c r="H225" s="27">
        <v>1</v>
      </c>
      <c r="I225" s="27">
        <f t="shared" si="10"/>
        <v>0</v>
      </c>
      <c r="J225" s="26" t="s">
        <v>152</v>
      </c>
    </row>
    <row r="226" spans="1:10" ht="12.75" x14ac:dyDescent="0.2">
      <c r="A226" s="25">
        <v>45965</v>
      </c>
      <c r="B226" s="26" t="s">
        <v>50</v>
      </c>
      <c r="C226" s="12" t="s">
        <v>15</v>
      </c>
      <c r="D226" s="26" t="s">
        <v>154</v>
      </c>
      <c r="E226" s="13" t="s">
        <v>53</v>
      </c>
      <c r="F226" s="13" t="s">
        <v>75</v>
      </c>
      <c r="G226" s="27">
        <v>1</v>
      </c>
      <c r="H226" s="27">
        <v>1</v>
      </c>
      <c r="I226" s="27">
        <f t="shared" si="10"/>
        <v>0</v>
      </c>
      <c r="J226" s="26"/>
    </row>
    <row r="227" spans="1:10" ht="12.75" x14ac:dyDescent="0.2">
      <c r="A227" s="25">
        <v>45965</v>
      </c>
      <c r="B227" s="26" t="s">
        <v>50</v>
      </c>
      <c r="C227" s="12" t="s">
        <v>15</v>
      </c>
      <c r="D227" s="26" t="s">
        <v>116</v>
      </c>
      <c r="E227" s="13" t="s">
        <v>53</v>
      </c>
      <c r="F227" s="13" t="s">
        <v>340</v>
      </c>
      <c r="G227" s="27">
        <v>1</v>
      </c>
      <c r="H227" s="27">
        <v>1</v>
      </c>
      <c r="I227" s="27">
        <f t="shared" si="10"/>
        <v>0</v>
      </c>
      <c r="J227" s="26"/>
    </row>
    <row r="228" spans="1:10" ht="12.75" x14ac:dyDescent="0.2">
      <c r="A228" s="25">
        <v>45965</v>
      </c>
      <c r="B228" s="26" t="s">
        <v>50</v>
      </c>
      <c r="C228" s="12" t="s">
        <v>15</v>
      </c>
      <c r="D228" s="26" t="s">
        <v>85</v>
      </c>
      <c r="E228" s="13" t="s">
        <v>61</v>
      </c>
      <c r="F228" s="13" t="s">
        <v>41</v>
      </c>
      <c r="G228" s="27">
        <v>1</v>
      </c>
      <c r="H228" s="27">
        <v>1</v>
      </c>
      <c r="I228" s="27">
        <f t="shared" si="10"/>
        <v>0</v>
      </c>
      <c r="J228" s="26"/>
    </row>
    <row r="229" spans="1:10" ht="12.75" x14ac:dyDescent="0.2">
      <c r="A229" s="25">
        <v>45965</v>
      </c>
      <c r="B229" s="26" t="s">
        <v>50</v>
      </c>
      <c r="C229" s="12" t="s">
        <v>15</v>
      </c>
      <c r="D229" s="26" t="s">
        <v>155</v>
      </c>
      <c r="E229" s="13" t="s">
        <v>53</v>
      </c>
      <c r="F229" s="13" t="s">
        <v>340</v>
      </c>
      <c r="G229" s="27">
        <v>1</v>
      </c>
      <c r="H229" s="27">
        <v>1</v>
      </c>
      <c r="I229" s="27">
        <f t="shared" si="10"/>
        <v>0</v>
      </c>
      <c r="J229" s="26" t="s">
        <v>156</v>
      </c>
    </row>
    <row r="230" spans="1:10" s="47" customFormat="1" ht="12.75" x14ac:dyDescent="0.2">
      <c r="A230" s="25">
        <v>45965</v>
      </c>
      <c r="B230" s="26" t="s">
        <v>50</v>
      </c>
      <c r="C230" s="12" t="s">
        <v>15</v>
      </c>
      <c r="D230" s="26" t="s">
        <v>157</v>
      </c>
      <c r="E230" s="13" t="s">
        <v>53</v>
      </c>
      <c r="F230" s="13" t="s">
        <v>74</v>
      </c>
      <c r="G230" s="27">
        <v>2</v>
      </c>
      <c r="H230" s="27">
        <v>2</v>
      </c>
      <c r="I230" s="27">
        <f t="shared" si="10"/>
        <v>0</v>
      </c>
      <c r="J230" s="26" t="s">
        <v>158</v>
      </c>
    </row>
    <row r="231" spans="1:10" ht="12.75" x14ac:dyDescent="0.2">
      <c r="A231" s="25">
        <v>45966</v>
      </c>
      <c r="B231" s="26" t="s">
        <v>50</v>
      </c>
      <c r="C231" s="12" t="s">
        <v>15</v>
      </c>
      <c r="D231" s="26" t="s">
        <v>157</v>
      </c>
      <c r="E231" s="13" t="s">
        <v>53</v>
      </c>
      <c r="F231" s="13" t="s">
        <v>74</v>
      </c>
      <c r="G231" s="27">
        <v>2</v>
      </c>
      <c r="H231" s="27">
        <v>2</v>
      </c>
      <c r="I231" s="27">
        <f t="shared" si="10"/>
        <v>0</v>
      </c>
      <c r="J231" s="26"/>
    </row>
    <row r="232" spans="1:10" s="48" customFormat="1" ht="12.75" x14ac:dyDescent="0.2">
      <c r="A232" s="25">
        <v>45966</v>
      </c>
      <c r="B232" s="26" t="s">
        <v>50</v>
      </c>
      <c r="C232" s="12" t="s">
        <v>15</v>
      </c>
      <c r="D232" s="26" t="s">
        <v>85</v>
      </c>
      <c r="E232" s="13" t="s">
        <v>61</v>
      </c>
      <c r="F232" s="13" t="s">
        <v>41</v>
      </c>
      <c r="G232" s="27">
        <v>1</v>
      </c>
      <c r="H232" s="27">
        <v>1</v>
      </c>
      <c r="I232" s="27">
        <f t="shared" si="10"/>
        <v>0</v>
      </c>
      <c r="J232" s="26"/>
    </row>
    <row r="233" spans="1:10" s="48" customFormat="1" ht="12.75" x14ac:dyDescent="0.2">
      <c r="A233" s="25">
        <v>45966</v>
      </c>
      <c r="B233" s="26" t="s">
        <v>50</v>
      </c>
      <c r="C233" s="12" t="s">
        <v>15</v>
      </c>
      <c r="D233" s="26" t="s">
        <v>159</v>
      </c>
      <c r="E233" s="13" t="s">
        <v>45</v>
      </c>
      <c r="F233" s="13" t="s">
        <v>340</v>
      </c>
      <c r="G233" s="27">
        <v>1</v>
      </c>
      <c r="H233" s="27">
        <v>1.5</v>
      </c>
      <c r="I233" s="27">
        <f t="shared" si="10"/>
        <v>0.5</v>
      </c>
      <c r="J233" s="26" t="s">
        <v>160</v>
      </c>
    </row>
    <row r="234" spans="1:10" s="48" customFormat="1" ht="12.75" x14ac:dyDescent="0.2">
      <c r="A234" s="25">
        <v>45966</v>
      </c>
      <c r="B234" s="26" t="s">
        <v>50</v>
      </c>
      <c r="C234" s="12" t="s">
        <v>15</v>
      </c>
      <c r="D234" s="26" t="s">
        <v>161</v>
      </c>
      <c r="E234" s="13" t="s">
        <v>53</v>
      </c>
      <c r="F234" s="13" t="s">
        <v>74</v>
      </c>
      <c r="G234" s="27">
        <v>3</v>
      </c>
      <c r="H234" s="27">
        <v>3</v>
      </c>
      <c r="I234" s="27">
        <f t="shared" si="10"/>
        <v>0</v>
      </c>
      <c r="J234" s="26" t="s">
        <v>162</v>
      </c>
    </row>
    <row r="235" spans="1:10" s="48" customFormat="1" ht="12.75" x14ac:dyDescent="0.2">
      <c r="A235" s="25">
        <v>45967</v>
      </c>
      <c r="B235" s="26" t="s">
        <v>50</v>
      </c>
      <c r="C235" s="12" t="s">
        <v>15</v>
      </c>
      <c r="D235" s="26" t="s">
        <v>161</v>
      </c>
      <c r="E235" s="13" t="s">
        <v>53</v>
      </c>
      <c r="F235" s="13" t="s">
        <v>74</v>
      </c>
      <c r="G235" s="27">
        <v>3</v>
      </c>
      <c r="H235" s="27">
        <v>3</v>
      </c>
      <c r="I235" s="27">
        <f t="shared" si="10"/>
        <v>0</v>
      </c>
      <c r="J235" s="26" t="s">
        <v>162</v>
      </c>
    </row>
    <row r="236" spans="1:10" s="48" customFormat="1" ht="12.75" x14ac:dyDescent="0.2">
      <c r="A236" s="25">
        <v>45967</v>
      </c>
      <c r="B236" s="26" t="s">
        <v>50</v>
      </c>
      <c r="C236" s="12" t="s">
        <v>15</v>
      </c>
      <c r="D236" s="26" t="s">
        <v>85</v>
      </c>
      <c r="E236" s="13" t="s">
        <v>61</v>
      </c>
      <c r="F236" s="13" t="s">
        <v>41</v>
      </c>
      <c r="G236" s="27">
        <v>1</v>
      </c>
      <c r="H236" s="27">
        <v>1</v>
      </c>
      <c r="I236" s="27">
        <f t="shared" si="10"/>
        <v>0</v>
      </c>
      <c r="J236" s="26"/>
    </row>
    <row r="237" spans="1:10" s="53" customFormat="1" ht="12.75" x14ac:dyDescent="0.2">
      <c r="A237" s="25">
        <v>45967</v>
      </c>
      <c r="B237" s="26" t="s">
        <v>50</v>
      </c>
      <c r="C237" s="12" t="s">
        <v>15</v>
      </c>
      <c r="D237" s="26" t="s">
        <v>161</v>
      </c>
      <c r="E237" s="13" t="s">
        <v>53</v>
      </c>
      <c r="F237" s="13" t="s">
        <v>74</v>
      </c>
      <c r="G237" s="27">
        <v>2</v>
      </c>
      <c r="H237" s="27">
        <v>2</v>
      </c>
      <c r="I237" s="27">
        <f t="shared" si="10"/>
        <v>0</v>
      </c>
      <c r="J237" s="26" t="s">
        <v>162</v>
      </c>
    </row>
    <row r="238" spans="1:10" s="53" customFormat="1" ht="12.75" x14ac:dyDescent="0.2">
      <c r="A238" s="25">
        <v>45967</v>
      </c>
      <c r="B238" s="26" t="s">
        <v>50</v>
      </c>
      <c r="C238" s="12" t="s">
        <v>15</v>
      </c>
      <c r="D238" s="26" t="s">
        <v>159</v>
      </c>
      <c r="E238" s="13" t="s">
        <v>45</v>
      </c>
      <c r="F238" s="13" t="s">
        <v>340</v>
      </c>
      <c r="G238" s="27">
        <v>2</v>
      </c>
      <c r="H238" s="27">
        <v>2</v>
      </c>
      <c r="I238" s="27">
        <v>0</v>
      </c>
      <c r="J238" s="26" t="s">
        <v>265</v>
      </c>
    </row>
    <row r="239" spans="1:10" s="53" customFormat="1" ht="12.75" x14ac:dyDescent="0.2">
      <c r="A239" s="25">
        <v>45968</v>
      </c>
      <c r="B239" s="26" t="s">
        <v>50</v>
      </c>
      <c r="C239" s="12" t="s">
        <v>15</v>
      </c>
      <c r="D239" s="26" t="s">
        <v>159</v>
      </c>
      <c r="E239" s="13" t="s">
        <v>45</v>
      </c>
      <c r="F239" s="13" t="s">
        <v>340</v>
      </c>
      <c r="G239" s="27">
        <v>2</v>
      </c>
      <c r="H239" s="27">
        <v>2</v>
      </c>
      <c r="I239" s="27">
        <v>0</v>
      </c>
      <c r="J239" s="26" t="s">
        <v>265</v>
      </c>
    </row>
    <row r="240" spans="1:10" s="53" customFormat="1" ht="12.75" x14ac:dyDescent="0.2">
      <c r="A240" s="25">
        <v>45968</v>
      </c>
      <c r="B240" s="26" t="s">
        <v>50</v>
      </c>
      <c r="C240" s="12" t="s">
        <v>15</v>
      </c>
      <c r="D240" s="26" t="s">
        <v>85</v>
      </c>
      <c r="E240" s="13" t="s">
        <v>61</v>
      </c>
      <c r="F240" s="13" t="s">
        <v>41</v>
      </c>
      <c r="G240" s="27">
        <v>1</v>
      </c>
      <c r="H240" s="27">
        <v>1</v>
      </c>
      <c r="I240" s="27">
        <v>0</v>
      </c>
      <c r="J240" s="26"/>
    </row>
    <row r="241" spans="1:10" s="48" customFormat="1" ht="12.75" x14ac:dyDescent="0.2">
      <c r="A241" s="25">
        <v>45968</v>
      </c>
      <c r="B241" s="26" t="s">
        <v>50</v>
      </c>
      <c r="C241" s="12" t="s">
        <v>15</v>
      </c>
      <c r="D241" s="26" t="s">
        <v>338</v>
      </c>
      <c r="E241" s="13" t="s">
        <v>59</v>
      </c>
      <c r="F241" s="13" t="s">
        <v>342</v>
      </c>
      <c r="G241" s="27">
        <v>4</v>
      </c>
      <c r="H241" s="27">
        <v>4</v>
      </c>
      <c r="I241" s="27">
        <v>0</v>
      </c>
      <c r="J241" s="81" t="s">
        <v>339</v>
      </c>
    </row>
    <row r="242" spans="1:10" ht="12.75" x14ac:dyDescent="0.2">
      <c r="A242" s="18"/>
      <c r="B242" s="20"/>
      <c r="C242" s="20"/>
      <c r="D242" s="20"/>
      <c r="E242" s="20" t="s">
        <v>16</v>
      </c>
      <c r="F242" s="20"/>
      <c r="G242" s="23">
        <f>SUM(G218:G241)</f>
        <v>38</v>
      </c>
      <c r="H242" s="23">
        <f>SUM(H218:H241)</f>
        <v>38.5</v>
      </c>
      <c r="I242" s="23">
        <f t="shared" si="10"/>
        <v>0.5</v>
      </c>
      <c r="J242" s="20"/>
    </row>
    <row r="243" spans="1:10" ht="18.75" customHeight="1" x14ac:dyDescent="0.2">
      <c r="A243" s="70" t="s">
        <v>64</v>
      </c>
      <c r="B243" s="56"/>
      <c r="C243" s="56"/>
      <c r="D243" s="56"/>
      <c r="E243" s="56"/>
      <c r="F243" s="56"/>
      <c r="G243" s="56"/>
      <c r="H243" s="56"/>
      <c r="I243" s="56"/>
      <c r="J243" s="57"/>
    </row>
    <row r="244" spans="1:10" ht="12.75" x14ac:dyDescent="0.2">
      <c r="A244" s="28" t="s">
        <v>11</v>
      </c>
      <c r="B244" s="71" t="s">
        <v>12</v>
      </c>
      <c r="C244" s="56"/>
      <c r="D244" s="56"/>
      <c r="E244" s="56"/>
      <c r="F244" s="56"/>
      <c r="G244" s="56"/>
      <c r="H244" s="56"/>
      <c r="I244" s="56"/>
      <c r="J244" s="57"/>
    </row>
    <row r="245" spans="1:10" ht="27.75" customHeight="1" x14ac:dyDescent="0.2">
      <c r="A245" s="29" t="s">
        <v>13</v>
      </c>
      <c r="B245" s="71" t="s">
        <v>14</v>
      </c>
      <c r="C245" s="56"/>
      <c r="D245" s="56"/>
      <c r="E245" s="56"/>
      <c r="F245" s="56"/>
      <c r="G245" s="56"/>
      <c r="H245" s="56"/>
      <c r="I245" s="56"/>
      <c r="J245" s="57"/>
    </row>
    <row r="246" spans="1:10" ht="12.75" x14ac:dyDescent="0.2">
      <c r="A246" s="30">
        <v>45971</v>
      </c>
      <c r="B246" s="26" t="s">
        <v>50</v>
      </c>
      <c r="C246" s="12" t="s">
        <v>15</v>
      </c>
      <c r="D246" s="26" t="s">
        <v>266</v>
      </c>
      <c r="E246" s="13" t="s">
        <v>57</v>
      </c>
      <c r="F246" s="13" t="s">
        <v>74</v>
      </c>
      <c r="G246" s="27">
        <v>4</v>
      </c>
      <c r="H246" s="27">
        <v>4</v>
      </c>
      <c r="I246" s="27">
        <f t="shared" ref="I246:I264" si="11">H246-G246</f>
        <v>0</v>
      </c>
      <c r="J246" s="26" t="s">
        <v>267</v>
      </c>
    </row>
    <row r="247" spans="1:10" ht="12.75" x14ac:dyDescent="0.2">
      <c r="A247" s="30">
        <v>45971</v>
      </c>
      <c r="B247" s="26" t="s">
        <v>50</v>
      </c>
      <c r="C247" s="12" t="s">
        <v>15</v>
      </c>
      <c r="D247" s="26" t="s">
        <v>85</v>
      </c>
      <c r="E247" s="13" t="s">
        <v>61</v>
      </c>
      <c r="F247" s="13" t="s">
        <v>41</v>
      </c>
      <c r="G247" s="27">
        <v>1</v>
      </c>
      <c r="H247" s="27">
        <v>1</v>
      </c>
      <c r="I247" s="27">
        <f t="shared" si="11"/>
        <v>0</v>
      </c>
      <c r="J247" s="26"/>
    </row>
    <row r="248" spans="1:10" ht="12.75" x14ac:dyDescent="0.2">
      <c r="A248" s="30">
        <v>45971</v>
      </c>
      <c r="B248" s="26" t="s">
        <v>50</v>
      </c>
      <c r="C248" s="12" t="s">
        <v>15</v>
      </c>
      <c r="D248" s="26" t="s">
        <v>266</v>
      </c>
      <c r="E248" s="13" t="s">
        <v>57</v>
      </c>
      <c r="F248" s="13" t="s">
        <v>74</v>
      </c>
      <c r="G248" s="27">
        <v>4</v>
      </c>
      <c r="H248" s="27">
        <v>3</v>
      </c>
      <c r="I248" s="27">
        <f t="shared" si="11"/>
        <v>-1</v>
      </c>
      <c r="J248" s="26" t="s">
        <v>267</v>
      </c>
    </row>
    <row r="249" spans="1:10" s="53" customFormat="1" ht="12.75" x14ac:dyDescent="0.2">
      <c r="A249" s="30">
        <v>45972</v>
      </c>
      <c r="B249" s="26" t="s">
        <v>50</v>
      </c>
      <c r="C249" s="12" t="s">
        <v>15</v>
      </c>
      <c r="D249" s="26" t="s">
        <v>165</v>
      </c>
      <c r="E249" s="13" t="s">
        <v>45</v>
      </c>
      <c r="F249" s="13" t="s">
        <v>340</v>
      </c>
      <c r="G249" s="27">
        <v>1</v>
      </c>
      <c r="H249" s="27">
        <v>1</v>
      </c>
      <c r="I249" s="27"/>
      <c r="J249" s="81" t="s">
        <v>350</v>
      </c>
    </row>
    <row r="250" spans="1:10" s="53" customFormat="1" ht="12.75" x14ac:dyDescent="0.2">
      <c r="A250" s="30">
        <v>45972</v>
      </c>
      <c r="B250" s="26" t="s">
        <v>50</v>
      </c>
      <c r="C250" s="12" t="s">
        <v>15</v>
      </c>
      <c r="D250" s="26" t="s">
        <v>192</v>
      </c>
      <c r="E250" s="13" t="s">
        <v>45</v>
      </c>
      <c r="F250" s="13" t="s">
        <v>340</v>
      </c>
      <c r="G250" s="27">
        <v>1</v>
      </c>
      <c r="H250" s="27">
        <v>1</v>
      </c>
      <c r="I250" s="27"/>
      <c r="J250" s="26"/>
    </row>
    <row r="251" spans="1:10" ht="12.75" x14ac:dyDescent="0.2">
      <c r="A251" s="30">
        <v>45972</v>
      </c>
      <c r="B251" s="26" t="s">
        <v>50</v>
      </c>
      <c r="C251" s="12" t="s">
        <v>15</v>
      </c>
      <c r="D251" s="26" t="s">
        <v>268</v>
      </c>
      <c r="E251" s="13" t="s">
        <v>57</v>
      </c>
      <c r="F251" s="13" t="s">
        <v>74</v>
      </c>
      <c r="G251" s="27">
        <v>1</v>
      </c>
      <c r="H251" s="27">
        <v>1</v>
      </c>
      <c r="I251" s="27">
        <f t="shared" si="11"/>
        <v>0</v>
      </c>
      <c r="J251" s="26" t="s">
        <v>269</v>
      </c>
    </row>
    <row r="252" spans="1:10" s="53" customFormat="1" ht="12.75" x14ac:dyDescent="0.2">
      <c r="A252" s="30">
        <v>45972</v>
      </c>
      <c r="B252" s="26" t="s">
        <v>50</v>
      </c>
      <c r="C252" s="12" t="s">
        <v>15</v>
      </c>
      <c r="D252" s="26" t="s">
        <v>85</v>
      </c>
      <c r="E252" s="13" t="s">
        <v>61</v>
      </c>
      <c r="F252" s="13" t="s">
        <v>41</v>
      </c>
      <c r="G252" s="27">
        <v>1</v>
      </c>
      <c r="H252" s="27">
        <v>1</v>
      </c>
      <c r="I252" s="27"/>
      <c r="J252" s="26"/>
    </row>
    <row r="253" spans="1:10" ht="12.75" x14ac:dyDescent="0.2">
      <c r="A253" s="30">
        <v>45972</v>
      </c>
      <c r="B253" s="26" t="s">
        <v>50</v>
      </c>
      <c r="C253" s="12" t="s">
        <v>15</v>
      </c>
      <c r="D253" s="26" t="s">
        <v>270</v>
      </c>
      <c r="E253" s="13" t="s">
        <v>57</v>
      </c>
      <c r="F253" s="13" t="s">
        <v>74</v>
      </c>
      <c r="G253" s="27">
        <v>1</v>
      </c>
      <c r="H253" s="27">
        <v>1</v>
      </c>
      <c r="I253" s="27">
        <f t="shared" si="11"/>
        <v>0</v>
      </c>
      <c r="J253" s="26" t="s">
        <v>271</v>
      </c>
    </row>
    <row r="254" spans="1:10" ht="12.75" x14ac:dyDescent="0.2">
      <c r="A254" s="30">
        <v>45972</v>
      </c>
      <c r="B254" s="26" t="s">
        <v>50</v>
      </c>
      <c r="C254" s="12" t="s">
        <v>15</v>
      </c>
      <c r="D254" s="26" t="s">
        <v>272</v>
      </c>
      <c r="E254" s="13" t="s">
        <v>53</v>
      </c>
      <c r="F254" s="13" t="s">
        <v>74</v>
      </c>
      <c r="G254" s="27">
        <v>3</v>
      </c>
      <c r="H254" s="27">
        <v>3</v>
      </c>
      <c r="I254" s="27">
        <f t="shared" si="11"/>
        <v>0</v>
      </c>
      <c r="J254" s="26" t="s">
        <v>273</v>
      </c>
    </row>
    <row r="255" spans="1:10" ht="12.75" x14ac:dyDescent="0.2">
      <c r="A255" s="30">
        <v>45973</v>
      </c>
      <c r="B255" s="26" t="s">
        <v>50</v>
      </c>
      <c r="C255" s="12" t="s">
        <v>15</v>
      </c>
      <c r="D255" s="26" t="s">
        <v>272</v>
      </c>
      <c r="E255" s="13" t="s">
        <v>53</v>
      </c>
      <c r="F255" s="13" t="s">
        <v>74</v>
      </c>
      <c r="G255" s="27">
        <v>4</v>
      </c>
      <c r="H255" s="27">
        <v>3</v>
      </c>
      <c r="I255" s="27">
        <f t="shared" si="11"/>
        <v>-1</v>
      </c>
      <c r="J255" s="26" t="s">
        <v>273</v>
      </c>
    </row>
    <row r="256" spans="1:10" ht="12.75" x14ac:dyDescent="0.2">
      <c r="A256" s="30">
        <v>45973</v>
      </c>
      <c r="B256" s="26" t="s">
        <v>50</v>
      </c>
      <c r="C256" s="12" t="s">
        <v>15</v>
      </c>
      <c r="D256" s="26" t="s">
        <v>85</v>
      </c>
      <c r="E256" s="13" t="s">
        <v>61</v>
      </c>
      <c r="F256" s="13" t="s">
        <v>41</v>
      </c>
      <c r="G256" s="27">
        <v>1</v>
      </c>
      <c r="H256" s="27">
        <v>1</v>
      </c>
      <c r="I256" s="27">
        <f t="shared" si="11"/>
        <v>0</v>
      </c>
      <c r="J256" s="26"/>
    </row>
    <row r="257" spans="1:10" ht="12.75" x14ac:dyDescent="0.2">
      <c r="A257" s="30">
        <v>45973</v>
      </c>
      <c r="B257" s="26" t="s">
        <v>50</v>
      </c>
      <c r="C257" s="12" t="s">
        <v>15</v>
      </c>
      <c r="D257" s="26" t="s">
        <v>272</v>
      </c>
      <c r="E257" s="13" t="s">
        <v>53</v>
      </c>
      <c r="F257" s="13" t="s">
        <v>74</v>
      </c>
      <c r="G257" s="27">
        <v>3</v>
      </c>
      <c r="H257" s="27">
        <v>3</v>
      </c>
      <c r="I257" s="27">
        <f t="shared" si="11"/>
        <v>0</v>
      </c>
      <c r="J257" s="26" t="s">
        <v>273</v>
      </c>
    </row>
    <row r="258" spans="1:10" ht="12.75" x14ac:dyDescent="0.2">
      <c r="A258" s="30">
        <v>45974</v>
      </c>
      <c r="B258" s="26" t="s">
        <v>50</v>
      </c>
      <c r="C258" s="12" t="s">
        <v>15</v>
      </c>
      <c r="D258" s="26" t="s">
        <v>274</v>
      </c>
      <c r="E258" s="13" t="s">
        <v>53</v>
      </c>
      <c r="F258" s="13" t="s">
        <v>74</v>
      </c>
      <c r="G258" s="27">
        <v>4</v>
      </c>
      <c r="H258" s="27">
        <v>4</v>
      </c>
      <c r="I258" s="27">
        <f t="shared" si="11"/>
        <v>0</v>
      </c>
      <c r="J258" s="26" t="s">
        <v>275</v>
      </c>
    </row>
    <row r="259" spans="1:10" s="53" customFormat="1" ht="12.75" x14ac:dyDescent="0.2">
      <c r="A259" s="30">
        <v>45974</v>
      </c>
      <c r="B259" s="26" t="s">
        <v>50</v>
      </c>
      <c r="C259" s="12" t="s">
        <v>15</v>
      </c>
      <c r="D259" s="26" t="s">
        <v>85</v>
      </c>
      <c r="E259" s="13" t="s">
        <v>61</v>
      </c>
      <c r="F259" s="13" t="s">
        <v>41</v>
      </c>
      <c r="G259" s="27">
        <v>1</v>
      </c>
      <c r="H259" s="27">
        <v>1</v>
      </c>
      <c r="I259" s="27">
        <f t="shared" si="11"/>
        <v>0</v>
      </c>
      <c r="J259" s="26"/>
    </row>
    <row r="260" spans="1:10" s="53" customFormat="1" ht="12.75" x14ac:dyDescent="0.2">
      <c r="A260" s="30">
        <v>45974</v>
      </c>
      <c r="B260" s="26" t="s">
        <v>50</v>
      </c>
      <c r="C260" s="12" t="s">
        <v>15</v>
      </c>
      <c r="D260" s="26" t="s">
        <v>274</v>
      </c>
      <c r="E260" s="13" t="s">
        <v>53</v>
      </c>
      <c r="F260" s="13" t="s">
        <v>74</v>
      </c>
      <c r="G260" s="27">
        <v>4</v>
      </c>
      <c r="H260" s="27">
        <v>4</v>
      </c>
      <c r="I260" s="27">
        <f t="shared" si="11"/>
        <v>0</v>
      </c>
      <c r="J260" s="26" t="s">
        <v>275</v>
      </c>
    </row>
    <row r="261" spans="1:10" s="53" customFormat="1" ht="12.75" x14ac:dyDescent="0.2">
      <c r="A261" s="30">
        <v>45975</v>
      </c>
      <c r="B261" s="26" t="s">
        <v>50</v>
      </c>
      <c r="C261" s="12" t="s">
        <v>15</v>
      </c>
      <c r="D261" s="26" t="s">
        <v>274</v>
      </c>
      <c r="E261" s="13" t="s">
        <v>53</v>
      </c>
      <c r="F261" s="13" t="s">
        <v>74</v>
      </c>
      <c r="G261" s="27">
        <v>3</v>
      </c>
      <c r="H261" s="27">
        <v>3</v>
      </c>
      <c r="I261" s="27">
        <f t="shared" si="11"/>
        <v>0</v>
      </c>
      <c r="J261" s="26" t="s">
        <v>275</v>
      </c>
    </row>
    <row r="262" spans="1:10" s="53" customFormat="1" ht="12.75" x14ac:dyDescent="0.2">
      <c r="A262" s="30">
        <v>45975</v>
      </c>
      <c r="B262" s="26" t="s">
        <v>50</v>
      </c>
      <c r="C262" s="12" t="s">
        <v>15</v>
      </c>
      <c r="D262" s="26" t="s">
        <v>85</v>
      </c>
      <c r="E262" s="13" t="s">
        <v>61</v>
      </c>
      <c r="F262" s="13" t="s">
        <v>41</v>
      </c>
      <c r="G262" s="27">
        <v>1</v>
      </c>
      <c r="H262" s="27">
        <v>1</v>
      </c>
      <c r="I262" s="27">
        <f t="shared" si="11"/>
        <v>0</v>
      </c>
      <c r="J262" s="26"/>
    </row>
    <row r="263" spans="1:10" s="53" customFormat="1" ht="12.75" x14ac:dyDescent="0.2">
      <c r="A263" s="30">
        <v>45975</v>
      </c>
      <c r="B263" s="26" t="s">
        <v>50</v>
      </c>
      <c r="C263" s="12" t="s">
        <v>15</v>
      </c>
      <c r="D263" s="26" t="s">
        <v>163</v>
      </c>
      <c r="E263" s="13" t="s">
        <v>53</v>
      </c>
      <c r="F263" s="13" t="s">
        <v>74</v>
      </c>
      <c r="G263" s="27">
        <v>2</v>
      </c>
      <c r="H263" s="27">
        <v>3</v>
      </c>
      <c r="I263" s="27">
        <f t="shared" si="11"/>
        <v>1</v>
      </c>
      <c r="J263" s="26" t="s">
        <v>276</v>
      </c>
    </row>
    <row r="264" spans="1:10" ht="12.75" x14ac:dyDescent="0.2">
      <c r="A264" s="18"/>
      <c r="B264" s="20"/>
      <c r="C264" s="20"/>
      <c r="D264" s="20"/>
      <c r="E264" s="20" t="s">
        <v>16</v>
      </c>
      <c r="F264" s="20"/>
      <c r="G264" s="23">
        <f>SUM(G246:G263)</f>
        <v>40</v>
      </c>
      <c r="H264" s="23">
        <f>SUM(H246:H263)</f>
        <v>39</v>
      </c>
      <c r="I264" s="23">
        <f t="shared" si="11"/>
        <v>-1</v>
      </c>
      <c r="J264" s="20"/>
    </row>
    <row r="265" spans="1:10" ht="18.75" customHeight="1" x14ac:dyDescent="0.2">
      <c r="A265" s="72" t="s">
        <v>65</v>
      </c>
      <c r="B265" s="56"/>
      <c r="C265" s="56"/>
      <c r="D265" s="56"/>
      <c r="E265" s="56"/>
      <c r="F265" s="56"/>
      <c r="G265" s="56"/>
      <c r="H265" s="56"/>
      <c r="I265" s="56"/>
      <c r="J265" s="57"/>
    </row>
    <row r="266" spans="1:10" ht="12.75" x14ac:dyDescent="0.2">
      <c r="A266" s="31" t="s">
        <v>11</v>
      </c>
      <c r="B266" s="66" t="s">
        <v>12</v>
      </c>
      <c r="C266" s="56"/>
      <c r="D266" s="56"/>
      <c r="E266" s="56"/>
      <c r="F266" s="56"/>
      <c r="G266" s="56"/>
      <c r="H266" s="56"/>
      <c r="I266" s="56"/>
      <c r="J266" s="57"/>
    </row>
    <row r="267" spans="1:10" ht="27.75" customHeight="1" x14ac:dyDescent="0.2">
      <c r="A267" s="32" t="s">
        <v>13</v>
      </c>
      <c r="B267" s="66" t="s">
        <v>14</v>
      </c>
      <c r="C267" s="56"/>
      <c r="D267" s="56"/>
      <c r="E267" s="56"/>
      <c r="F267" s="56"/>
      <c r="G267" s="56"/>
      <c r="H267" s="56"/>
      <c r="I267" s="56"/>
      <c r="J267" s="57"/>
    </row>
    <row r="268" spans="1:10" ht="12.75" x14ac:dyDescent="0.2">
      <c r="A268" s="30">
        <v>45978</v>
      </c>
      <c r="B268" s="26" t="s">
        <v>50</v>
      </c>
      <c r="C268" s="12" t="s">
        <v>15</v>
      </c>
      <c r="D268" s="26" t="s">
        <v>163</v>
      </c>
      <c r="E268" s="13" t="s">
        <v>53</v>
      </c>
      <c r="F268" s="13" t="s">
        <v>74</v>
      </c>
      <c r="G268" s="27">
        <v>4</v>
      </c>
      <c r="H268" s="27">
        <v>4</v>
      </c>
      <c r="I268" s="27">
        <f t="shared" ref="I268:I286" si="12">H268-G268</f>
        <v>0</v>
      </c>
      <c r="J268" s="26" t="s">
        <v>277</v>
      </c>
    </row>
    <row r="269" spans="1:10" ht="12.75" x14ac:dyDescent="0.2">
      <c r="A269" s="30">
        <v>45978</v>
      </c>
      <c r="B269" s="26" t="s">
        <v>50</v>
      </c>
      <c r="C269" s="12" t="s">
        <v>15</v>
      </c>
      <c r="D269" s="26" t="s">
        <v>85</v>
      </c>
      <c r="E269" s="13" t="s">
        <v>61</v>
      </c>
      <c r="F269" s="13" t="s">
        <v>41</v>
      </c>
      <c r="G269" s="27">
        <v>1</v>
      </c>
      <c r="H269" s="27">
        <v>1</v>
      </c>
      <c r="I269" s="27">
        <f t="shared" si="12"/>
        <v>0</v>
      </c>
      <c r="J269" s="26"/>
    </row>
    <row r="270" spans="1:10" ht="12.75" x14ac:dyDescent="0.2">
      <c r="A270" s="30">
        <v>45978</v>
      </c>
      <c r="B270" s="26" t="s">
        <v>50</v>
      </c>
      <c r="C270" s="12" t="s">
        <v>15</v>
      </c>
      <c r="D270" s="26" t="s">
        <v>163</v>
      </c>
      <c r="E270" s="13" t="s">
        <v>53</v>
      </c>
      <c r="F270" s="13" t="s">
        <v>74</v>
      </c>
      <c r="G270" s="27">
        <v>4</v>
      </c>
      <c r="H270" s="27">
        <v>3</v>
      </c>
      <c r="I270" s="27">
        <f t="shared" si="12"/>
        <v>-1</v>
      </c>
      <c r="J270" s="26" t="s">
        <v>278</v>
      </c>
    </row>
    <row r="271" spans="1:10" ht="12.75" x14ac:dyDescent="0.2">
      <c r="A271" s="30">
        <v>45979</v>
      </c>
      <c r="B271" s="26" t="s">
        <v>50</v>
      </c>
      <c r="C271" s="12" t="s">
        <v>15</v>
      </c>
      <c r="D271" s="26" t="s">
        <v>165</v>
      </c>
      <c r="E271" s="13" t="s">
        <v>45</v>
      </c>
      <c r="F271" s="13" t="s">
        <v>340</v>
      </c>
      <c r="G271" s="27">
        <v>1</v>
      </c>
      <c r="H271" s="27">
        <v>1</v>
      </c>
      <c r="I271" s="27">
        <f t="shared" si="12"/>
        <v>0</v>
      </c>
      <c r="J271" s="26"/>
    </row>
    <row r="272" spans="1:10" ht="12.75" x14ac:dyDescent="0.2">
      <c r="A272" s="30">
        <v>45979</v>
      </c>
      <c r="B272" s="26" t="s">
        <v>50</v>
      </c>
      <c r="C272" s="12" t="s">
        <v>15</v>
      </c>
      <c r="D272" s="26" t="s">
        <v>192</v>
      </c>
      <c r="E272" s="13" t="s">
        <v>45</v>
      </c>
      <c r="F272" s="13" t="s">
        <v>340</v>
      </c>
      <c r="G272" s="27">
        <v>1</v>
      </c>
      <c r="H272" s="27">
        <v>1</v>
      </c>
      <c r="I272" s="27">
        <f t="shared" si="12"/>
        <v>0</v>
      </c>
      <c r="J272" s="26"/>
    </row>
    <row r="273" spans="1:10" ht="12.75" x14ac:dyDescent="0.2">
      <c r="A273" s="30">
        <v>45979</v>
      </c>
      <c r="B273" s="26" t="s">
        <v>50</v>
      </c>
      <c r="C273" s="12" t="s">
        <v>15</v>
      </c>
      <c r="D273" s="26" t="s">
        <v>163</v>
      </c>
      <c r="E273" s="13" t="s">
        <v>53</v>
      </c>
      <c r="F273" s="13" t="s">
        <v>74</v>
      </c>
      <c r="G273" s="27">
        <v>2</v>
      </c>
      <c r="H273" s="27">
        <v>3</v>
      </c>
      <c r="I273" s="27">
        <f t="shared" si="12"/>
        <v>1</v>
      </c>
      <c r="J273" s="26" t="s">
        <v>278</v>
      </c>
    </row>
    <row r="274" spans="1:10" ht="12.75" x14ac:dyDescent="0.2">
      <c r="A274" s="30">
        <v>45979</v>
      </c>
      <c r="B274" s="26" t="s">
        <v>50</v>
      </c>
      <c r="C274" s="12" t="s">
        <v>15</v>
      </c>
      <c r="D274" s="26" t="s">
        <v>85</v>
      </c>
      <c r="E274" s="13" t="s">
        <v>61</v>
      </c>
      <c r="F274" s="13" t="s">
        <v>41</v>
      </c>
      <c r="G274" s="27">
        <v>1</v>
      </c>
      <c r="H274" s="27">
        <v>1</v>
      </c>
      <c r="I274" s="27">
        <f t="shared" si="12"/>
        <v>0</v>
      </c>
      <c r="J274" s="26"/>
    </row>
    <row r="275" spans="1:10" ht="12.75" x14ac:dyDescent="0.2">
      <c r="A275" s="30">
        <v>45979</v>
      </c>
      <c r="B275" s="26" t="s">
        <v>50</v>
      </c>
      <c r="C275" s="12" t="s">
        <v>15</v>
      </c>
      <c r="D275" s="26" t="s">
        <v>163</v>
      </c>
      <c r="E275" s="13" t="s">
        <v>53</v>
      </c>
      <c r="F275" s="13" t="s">
        <v>74</v>
      </c>
      <c r="G275" s="27">
        <v>4</v>
      </c>
      <c r="H275" s="27">
        <v>3</v>
      </c>
      <c r="I275" s="27">
        <f t="shared" si="12"/>
        <v>-1</v>
      </c>
      <c r="J275" s="26" t="s">
        <v>279</v>
      </c>
    </row>
    <row r="276" spans="1:10" ht="12.75" x14ac:dyDescent="0.2">
      <c r="A276" s="30">
        <v>45980</v>
      </c>
      <c r="B276" s="26" t="s">
        <v>50</v>
      </c>
      <c r="C276" s="12" t="s">
        <v>15</v>
      </c>
      <c r="D276" s="26" t="s">
        <v>163</v>
      </c>
      <c r="E276" s="13" t="s">
        <v>53</v>
      </c>
      <c r="F276" s="13" t="s">
        <v>74</v>
      </c>
      <c r="G276" s="27">
        <v>4</v>
      </c>
      <c r="H276" s="27">
        <v>4</v>
      </c>
      <c r="I276" s="27">
        <f t="shared" si="12"/>
        <v>0</v>
      </c>
      <c r="J276" s="26" t="s">
        <v>280</v>
      </c>
    </row>
    <row r="277" spans="1:10" s="53" customFormat="1" ht="12.75" x14ac:dyDescent="0.2">
      <c r="A277" s="30">
        <v>45980</v>
      </c>
      <c r="B277" s="26" t="s">
        <v>50</v>
      </c>
      <c r="C277" s="12" t="s">
        <v>15</v>
      </c>
      <c r="D277" s="26" t="s">
        <v>85</v>
      </c>
      <c r="E277" s="13" t="s">
        <v>61</v>
      </c>
      <c r="F277" s="13" t="s">
        <v>41</v>
      </c>
      <c r="G277" s="27">
        <v>1</v>
      </c>
      <c r="H277" s="27">
        <v>1</v>
      </c>
      <c r="I277" s="27">
        <f t="shared" si="12"/>
        <v>0</v>
      </c>
      <c r="J277" s="26"/>
    </row>
    <row r="278" spans="1:10" s="53" customFormat="1" ht="12.75" x14ac:dyDescent="0.2">
      <c r="A278" s="30">
        <v>45980</v>
      </c>
      <c r="B278" s="26" t="s">
        <v>50</v>
      </c>
      <c r="C278" s="12" t="s">
        <v>15</v>
      </c>
      <c r="D278" s="26" t="s">
        <v>163</v>
      </c>
      <c r="E278" s="13" t="s">
        <v>53</v>
      </c>
      <c r="F278" s="13" t="s">
        <v>74</v>
      </c>
      <c r="G278" s="27">
        <v>4</v>
      </c>
      <c r="H278" s="27">
        <v>4</v>
      </c>
      <c r="I278" s="27">
        <f t="shared" si="12"/>
        <v>0</v>
      </c>
      <c r="J278" s="26" t="s">
        <v>280</v>
      </c>
    </row>
    <row r="279" spans="1:10" s="53" customFormat="1" ht="12.75" x14ac:dyDescent="0.2">
      <c r="A279" s="30">
        <v>45981</v>
      </c>
      <c r="B279" s="26" t="s">
        <v>50</v>
      </c>
      <c r="C279" s="12" t="s">
        <v>15</v>
      </c>
      <c r="D279" s="26" t="s">
        <v>159</v>
      </c>
      <c r="E279" s="13" t="s">
        <v>45</v>
      </c>
      <c r="F279" s="13" t="s">
        <v>340</v>
      </c>
      <c r="G279" s="27">
        <v>1</v>
      </c>
      <c r="H279" s="27">
        <v>1</v>
      </c>
      <c r="I279" s="27">
        <f t="shared" si="12"/>
        <v>0</v>
      </c>
      <c r="J279" s="26"/>
    </row>
    <row r="280" spans="1:10" s="53" customFormat="1" ht="12.75" x14ac:dyDescent="0.2">
      <c r="A280" s="30">
        <v>45981</v>
      </c>
      <c r="B280" s="26" t="s">
        <v>50</v>
      </c>
      <c r="C280" s="12" t="s">
        <v>15</v>
      </c>
      <c r="D280" s="26" t="s">
        <v>163</v>
      </c>
      <c r="E280" s="13" t="s">
        <v>53</v>
      </c>
      <c r="F280" s="13" t="s">
        <v>74</v>
      </c>
      <c r="G280" s="27">
        <v>3</v>
      </c>
      <c r="H280" s="27">
        <v>3</v>
      </c>
      <c r="I280" s="27">
        <f t="shared" si="12"/>
        <v>0</v>
      </c>
      <c r="J280" s="26" t="s">
        <v>295</v>
      </c>
    </row>
    <row r="281" spans="1:10" s="53" customFormat="1" ht="12.75" x14ac:dyDescent="0.2">
      <c r="A281" s="30">
        <v>45981</v>
      </c>
      <c r="B281" s="26" t="s">
        <v>50</v>
      </c>
      <c r="C281" s="12" t="s">
        <v>15</v>
      </c>
      <c r="D281" s="26" t="s">
        <v>85</v>
      </c>
      <c r="E281" s="13" t="s">
        <v>61</v>
      </c>
      <c r="F281" s="13" t="s">
        <v>41</v>
      </c>
      <c r="G281" s="27">
        <v>1</v>
      </c>
      <c r="H281" s="27">
        <v>1</v>
      </c>
      <c r="I281" s="27">
        <f t="shared" si="12"/>
        <v>0</v>
      </c>
      <c r="J281" s="26"/>
    </row>
    <row r="282" spans="1:10" s="53" customFormat="1" ht="12.75" x14ac:dyDescent="0.2">
      <c r="A282" s="30">
        <v>45981</v>
      </c>
      <c r="B282" s="26" t="s">
        <v>50</v>
      </c>
      <c r="C282" s="12" t="s">
        <v>15</v>
      </c>
      <c r="D282" s="26" t="s">
        <v>163</v>
      </c>
      <c r="E282" s="13" t="s">
        <v>53</v>
      </c>
      <c r="F282" s="13" t="s">
        <v>74</v>
      </c>
      <c r="G282" s="27">
        <v>3</v>
      </c>
      <c r="H282" s="27">
        <v>2</v>
      </c>
      <c r="I282" s="27">
        <f t="shared" si="12"/>
        <v>-1</v>
      </c>
      <c r="J282" s="26" t="s">
        <v>281</v>
      </c>
    </row>
    <row r="283" spans="1:10" s="53" customFormat="1" ht="12.75" x14ac:dyDescent="0.2">
      <c r="A283" s="30">
        <v>45982</v>
      </c>
      <c r="B283" s="26" t="s">
        <v>50</v>
      </c>
      <c r="C283" s="12" t="s">
        <v>15</v>
      </c>
      <c r="D283" s="26" t="s">
        <v>282</v>
      </c>
      <c r="E283" s="13" t="s">
        <v>53</v>
      </c>
      <c r="F283" s="13" t="s">
        <v>73</v>
      </c>
      <c r="G283" s="27">
        <v>3</v>
      </c>
      <c r="H283" s="27">
        <v>3</v>
      </c>
      <c r="I283" s="27">
        <f t="shared" si="12"/>
        <v>0</v>
      </c>
      <c r="J283" s="26" t="s">
        <v>283</v>
      </c>
    </row>
    <row r="284" spans="1:10" s="53" customFormat="1" ht="12.75" x14ac:dyDescent="0.2">
      <c r="A284" s="30">
        <v>45982</v>
      </c>
      <c r="B284" s="26" t="s">
        <v>50</v>
      </c>
      <c r="C284" s="12" t="s">
        <v>15</v>
      </c>
      <c r="D284" s="26" t="s">
        <v>85</v>
      </c>
      <c r="E284" s="13" t="s">
        <v>61</v>
      </c>
      <c r="F284" s="13" t="s">
        <v>41</v>
      </c>
      <c r="G284" s="27">
        <v>1</v>
      </c>
      <c r="H284" s="27">
        <v>1</v>
      </c>
      <c r="I284" s="27">
        <f t="shared" si="12"/>
        <v>0</v>
      </c>
      <c r="J284" s="26"/>
    </row>
    <row r="285" spans="1:10" ht="12.75" x14ac:dyDescent="0.2">
      <c r="A285" s="30">
        <v>45982</v>
      </c>
      <c r="B285" s="26" t="s">
        <v>50</v>
      </c>
      <c r="C285" s="12" t="s">
        <v>15</v>
      </c>
      <c r="D285" s="26" t="s">
        <v>284</v>
      </c>
      <c r="E285" s="13" t="s">
        <v>53</v>
      </c>
      <c r="F285" s="13" t="s">
        <v>74</v>
      </c>
      <c r="G285" s="27">
        <v>3</v>
      </c>
      <c r="H285" s="27">
        <v>3</v>
      </c>
      <c r="I285" s="27">
        <f t="shared" si="12"/>
        <v>0</v>
      </c>
      <c r="J285" s="26" t="s">
        <v>285</v>
      </c>
    </row>
    <row r="286" spans="1:10" ht="12.75" x14ac:dyDescent="0.2">
      <c r="A286" s="18"/>
      <c r="B286" s="20"/>
      <c r="C286" s="20"/>
      <c r="D286" s="20"/>
      <c r="E286" s="20" t="s">
        <v>16</v>
      </c>
      <c r="F286" s="20"/>
      <c r="G286" s="23">
        <f t="shared" ref="G286:H286" si="13">SUM(G268:G285)</f>
        <v>42</v>
      </c>
      <c r="H286" s="23">
        <f t="shared" si="13"/>
        <v>40</v>
      </c>
      <c r="I286" s="23">
        <f t="shared" si="12"/>
        <v>-2</v>
      </c>
      <c r="J286" s="20"/>
    </row>
    <row r="287" spans="1:10" ht="18.75" customHeight="1" x14ac:dyDescent="0.2">
      <c r="A287" s="67" t="s">
        <v>66</v>
      </c>
      <c r="B287" s="56"/>
      <c r="C287" s="56"/>
      <c r="D287" s="56"/>
      <c r="E287" s="56"/>
      <c r="F287" s="56"/>
      <c r="G287" s="56"/>
      <c r="H287" s="56"/>
      <c r="I287" s="56"/>
      <c r="J287" s="57"/>
    </row>
    <row r="288" spans="1:10" ht="12.75" x14ac:dyDescent="0.2">
      <c r="A288" s="33" t="s">
        <v>11</v>
      </c>
      <c r="B288" s="68" t="s">
        <v>12</v>
      </c>
      <c r="C288" s="56"/>
      <c r="D288" s="56"/>
      <c r="E288" s="56"/>
      <c r="F288" s="56"/>
      <c r="G288" s="56"/>
      <c r="H288" s="56"/>
      <c r="I288" s="56"/>
      <c r="J288" s="57"/>
    </row>
    <row r="289" spans="1:10" ht="27.75" customHeight="1" x14ac:dyDescent="0.2">
      <c r="A289" s="34" t="s">
        <v>13</v>
      </c>
      <c r="B289" s="68" t="s">
        <v>14</v>
      </c>
      <c r="C289" s="56"/>
      <c r="D289" s="56"/>
      <c r="E289" s="56"/>
      <c r="F289" s="56"/>
      <c r="G289" s="56"/>
      <c r="H289" s="56"/>
      <c r="I289" s="56"/>
      <c r="J289" s="57"/>
    </row>
    <row r="290" spans="1:10" ht="12.75" x14ac:dyDescent="0.2">
      <c r="A290" s="30">
        <v>45985</v>
      </c>
      <c r="B290" s="26" t="s">
        <v>50</v>
      </c>
      <c r="C290" s="12" t="s">
        <v>15</v>
      </c>
      <c r="D290" s="26" t="s">
        <v>286</v>
      </c>
      <c r="E290" s="13" t="s">
        <v>53</v>
      </c>
      <c r="F290" s="13" t="s">
        <v>74</v>
      </c>
      <c r="G290" s="27">
        <v>4</v>
      </c>
      <c r="H290" s="27">
        <v>3</v>
      </c>
      <c r="I290" s="27">
        <f t="shared" ref="I290:I307" si="14">H290-G290</f>
        <v>-1</v>
      </c>
      <c r="J290" s="26" t="s">
        <v>287</v>
      </c>
    </row>
    <row r="291" spans="1:10" ht="12.75" x14ac:dyDescent="0.2">
      <c r="A291" s="30">
        <v>45985</v>
      </c>
      <c r="B291" s="26" t="s">
        <v>50</v>
      </c>
      <c r="C291" s="12" t="s">
        <v>15</v>
      </c>
      <c r="D291" s="26" t="s">
        <v>85</v>
      </c>
      <c r="E291" s="13" t="s">
        <v>61</v>
      </c>
      <c r="F291" s="13" t="s">
        <v>41</v>
      </c>
      <c r="G291" s="27">
        <v>1</v>
      </c>
      <c r="H291" s="27">
        <v>1</v>
      </c>
      <c r="I291" s="27">
        <f t="shared" si="14"/>
        <v>0</v>
      </c>
      <c r="J291" s="26"/>
    </row>
    <row r="292" spans="1:10" ht="12.75" x14ac:dyDescent="0.2">
      <c r="A292" s="30">
        <v>45985</v>
      </c>
      <c r="B292" s="26" t="s">
        <v>50</v>
      </c>
      <c r="C292" s="12" t="s">
        <v>15</v>
      </c>
      <c r="D292" s="26" t="s">
        <v>288</v>
      </c>
      <c r="E292" s="13" t="s">
        <v>51</v>
      </c>
      <c r="F292" s="13" t="s">
        <v>75</v>
      </c>
      <c r="G292" s="27">
        <v>3</v>
      </c>
      <c r="H292" s="27">
        <v>3</v>
      </c>
      <c r="I292" s="27">
        <f t="shared" si="14"/>
        <v>0</v>
      </c>
      <c r="J292" s="26" t="s">
        <v>289</v>
      </c>
    </row>
    <row r="293" spans="1:10" ht="12.75" x14ac:dyDescent="0.2">
      <c r="A293" s="30">
        <v>45986</v>
      </c>
      <c r="B293" s="26" t="s">
        <v>50</v>
      </c>
      <c r="C293" s="12" t="s">
        <v>15</v>
      </c>
      <c r="D293" s="26" t="s">
        <v>165</v>
      </c>
      <c r="E293" s="13" t="s">
        <v>45</v>
      </c>
      <c r="F293" s="13" t="s">
        <v>340</v>
      </c>
      <c r="G293" s="27">
        <v>1</v>
      </c>
      <c r="H293" s="27">
        <v>1</v>
      </c>
      <c r="I293" s="27">
        <f t="shared" si="14"/>
        <v>0</v>
      </c>
      <c r="J293" s="26"/>
    </row>
    <row r="294" spans="1:10" ht="12.75" x14ac:dyDescent="0.2">
      <c r="A294" s="30">
        <v>45986</v>
      </c>
      <c r="B294" s="26" t="s">
        <v>50</v>
      </c>
      <c r="C294" s="12" t="s">
        <v>15</v>
      </c>
      <c r="D294" s="26" t="s">
        <v>192</v>
      </c>
      <c r="E294" s="13" t="s">
        <v>45</v>
      </c>
      <c r="F294" s="13" t="s">
        <v>340</v>
      </c>
      <c r="G294" s="27">
        <v>1</v>
      </c>
      <c r="H294" s="27">
        <v>1</v>
      </c>
      <c r="I294" s="27">
        <f t="shared" si="14"/>
        <v>0</v>
      </c>
      <c r="J294" s="26"/>
    </row>
    <row r="295" spans="1:10" ht="12.75" x14ac:dyDescent="0.2">
      <c r="A295" s="30">
        <v>45986</v>
      </c>
      <c r="B295" s="26" t="s">
        <v>50</v>
      </c>
      <c r="C295" s="12" t="s">
        <v>15</v>
      </c>
      <c r="D295" s="26" t="s">
        <v>290</v>
      </c>
      <c r="E295" s="13" t="s">
        <v>53</v>
      </c>
      <c r="F295" s="13" t="s">
        <v>74</v>
      </c>
      <c r="G295" s="27">
        <v>2</v>
      </c>
      <c r="H295" s="27">
        <v>3</v>
      </c>
      <c r="I295" s="27">
        <f t="shared" si="14"/>
        <v>1</v>
      </c>
      <c r="J295" s="26" t="s">
        <v>291</v>
      </c>
    </row>
    <row r="296" spans="1:10" ht="12.75" x14ac:dyDescent="0.2">
      <c r="A296" s="30">
        <v>45986</v>
      </c>
      <c r="B296" s="26" t="s">
        <v>50</v>
      </c>
      <c r="C296" s="12" t="s">
        <v>15</v>
      </c>
      <c r="D296" s="26" t="s">
        <v>85</v>
      </c>
      <c r="E296" s="13" t="s">
        <v>61</v>
      </c>
      <c r="F296" s="13" t="s">
        <v>41</v>
      </c>
      <c r="G296" s="27">
        <v>1</v>
      </c>
      <c r="H296" s="27">
        <v>1</v>
      </c>
      <c r="I296" s="27">
        <f t="shared" si="14"/>
        <v>0</v>
      </c>
      <c r="J296" s="26"/>
    </row>
    <row r="297" spans="1:10" ht="12.75" x14ac:dyDescent="0.2">
      <c r="A297" s="30">
        <v>45986</v>
      </c>
      <c r="B297" s="26" t="s">
        <v>50</v>
      </c>
      <c r="C297" s="12" t="s">
        <v>15</v>
      </c>
      <c r="D297" s="26" t="s">
        <v>290</v>
      </c>
      <c r="E297" s="13" t="s">
        <v>53</v>
      </c>
      <c r="F297" s="13" t="s">
        <v>74</v>
      </c>
      <c r="G297" s="27">
        <v>3</v>
      </c>
      <c r="H297" s="27">
        <v>3</v>
      </c>
      <c r="I297" s="27">
        <f t="shared" si="14"/>
        <v>0</v>
      </c>
      <c r="J297" s="26" t="s">
        <v>291</v>
      </c>
    </row>
    <row r="298" spans="1:10" ht="12.75" x14ac:dyDescent="0.2">
      <c r="A298" s="30">
        <v>45987</v>
      </c>
      <c r="B298" s="26" t="s">
        <v>50</v>
      </c>
      <c r="C298" s="12" t="s">
        <v>15</v>
      </c>
      <c r="D298" s="26" t="s">
        <v>163</v>
      </c>
      <c r="E298" s="13" t="s">
        <v>53</v>
      </c>
      <c r="F298" s="13" t="s">
        <v>74</v>
      </c>
      <c r="G298" s="27">
        <v>4</v>
      </c>
      <c r="H298" s="27">
        <v>3</v>
      </c>
      <c r="I298" s="27">
        <f t="shared" si="14"/>
        <v>-1</v>
      </c>
      <c r="J298" s="26" t="s">
        <v>292</v>
      </c>
    </row>
    <row r="299" spans="1:10" ht="12.75" x14ac:dyDescent="0.2">
      <c r="A299" s="30">
        <v>45987</v>
      </c>
      <c r="B299" s="26" t="s">
        <v>50</v>
      </c>
      <c r="C299" s="12" t="s">
        <v>15</v>
      </c>
      <c r="D299" s="26" t="s">
        <v>85</v>
      </c>
      <c r="E299" s="13" t="s">
        <v>61</v>
      </c>
      <c r="F299" s="13" t="s">
        <v>41</v>
      </c>
      <c r="G299" s="27">
        <v>1</v>
      </c>
      <c r="H299" s="27">
        <v>1</v>
      </c>
      <c r="I299" s="27">
        <f t="shared" si="14"/>
        <v>0</v>
      </c>
      <c r="J299" s="26"/>
    </row>
    <row r="300" spans="1:10" s="53" customFormat="1" ht="12.75" x14ac:dyDescent="0.2">
      <c r="A300" s="30">
        <v>45987</v>
      </c>
      <c r="B300" s="26" t="s">
        <v>50</v>
      </c>
      <c r="C300" s="12" t="s">
        <v>15</v>
      </c>
      <c r="D300" s="26" t="s">
        <v>293</v>
      </c>
      <c r="E300" s="13" t="s">
        <v>53</v>
      </c>
      <c r="F300" s="13" t="s">
        <v>74</v>
      </c>
      <c r="G300" s="27">
        <v>3</v>
      </c>
      <c r="H300" s="27">
        <v>3</v>
      </c>
      <c r="I300" s="27">
        <f t="shared" si="14"/>
        <v>0</v>
      </c>
      <c r="J300" s="26" t="s">
        <v>294</v>
      </c>
    </row>
    <row r="301" spans="1:10" s="53" customFormat="1" ht="12.75" x14ac:dyDescent="0.2">
      <c r="A301" s="30">
        <v>45988</v>
      </c>
      <c r="B301" s="26" t="s">
        <v>50</v>
      </c>
      <c r="C301" s="12" t="s">
        <v>15</v>
      </c>
      <c r="D301" s="26" t="s">
        <v>293</v>
      </c>
      <c r="E301" s="13" t="s">
        <v>53</v>
      </c>
      <c r="F301" s="13" t="s">
        <v>74</v>
      </c>
      <c r="G301" s="27">
        <v>4</v>
      </c>
      <c r="H301" s="27">
        <v>4</v>
      </c>
      <c r="I301" s="27">
        <f t="shared" si="14"/>
        <v>0</v>
      </c>
      <c r="J301" s="26" t="s">
        <v>296</v>
      </c>
    </row>
    <row r="302" spans="1:10" s="53" customFormat="1" ht="12.75" x14ac:dyDescent="0.2">
      <c r="A302" s="30">
        <v>45988</v>
      </c>
      <c r="B302" s="26" t="s">
        <v>50</v>
      </c>
      <c r="C302" s="12" t="s">
        <v>15</v>
      </c>
      <c r="D302" s="26" t="s">
        <v>85</v>
      </c>
      <c r="E302" s="13" t="s">
        <v>61</v>
      </c>
      <c r="F302" s="13" t="s">
        <v>41</v>
      </c>
      <c r="G302" s="27">
        <v>1</v>
      </c>
      <c r="H302" s="27">
        <v>1</v>
      </c>
      <c r="I302" s="27">
        <f t="shared" si="14"/>
        <v>0</v>
      </c>
      <c r="J302" s="26"/>
    </row>
    <row r="303" spans="1:10" s="53" customFormat="1" ht="12.75" x14ac:dyDescent="0.2">
      <c r="A303" s="30">
        <v>45988</v>
      </c>
      <c r="B303" s="26" t="s">
        <v>50</v>
      </c>
      <c r="C303" s="12" t="s">
        <v>15</v>
      </c>
      <c r="D303" s="26" t="s">
        <v>293</v>
      </c>
      <c r="E303" s="13" t="s">
        <v>53</v>
      </c>
      <c r="F303" s="13" t="s">
        <v>74</v>
      </c>
      <c r="G303" s="27">
        <v>3</v>
      </c>
      <c r="H303" s="27">
        <v>3</v>
      </c>
      <c r="I303" s="27">
        <f t="shared" si="14"/>
        <v>0</v>
      </c>
      <c r="J303" s="26" t="s">
        <v>297</v>
      </c>
    </row>
    <row r="304" spans="1:10" s="53" customFormat="1" ht="12.75" x14ac:dyDescent="0.2">
      <c r="A304" s="30">
        <v>45989</v>
      </c>
      <c r="B304" s="26" t="s">
        <v>50</v>
      </c>
      <c r="C304" s="12" t="s">
        <v>15</v>
      </c>
      <c r="D304" s="26" t="s">
        <v>282</v>
      </c>
      <c r="E304" s="13" t="s">
        <v>53</v>
      </c>
      <c r="F304" s="13" t="s">
        <v>74</v>
      </c>
      <c r="G304" s="27">
        <v>4</v>
      </c>
      <c r="H304" s="27">
        <v>4</v>
      </c>
      <c r="I304" s="27">
        <f t="shared" si="14"/>
        <v>0</v>
      </c>
      <c r="J304" s="26" t="s">
        <v>298</v>
      </c>
    </row>
    <row r="305" spans="1:10" s="53" customFormat="1" ht="12.75" x14ac:dyDescent="0.2">
      <c r="A305" s="30">
        <v>45989</v>
      </c>
      <c r="B305" s="26" t="s">
        <v>50</v>
      </c>
      <c r="C305" s="12" t="s">
        <v>15</v>
      </c>
      <c r="D305" s="26" t="s">
        <v>85</v>
      </c>
      <c r="E305" s="13" t="s">
        <v>61</v>
      </c>
      <c r="F305" s="13" t="s">
        <v>41</v>
      </c>
      <c r="G305" s="27">
        <v>1</v>
      </c>
      <c r="H305" s="27">
        <v>1</v>
      </c>
      <c r="I305" s="27">
        <f t="shared" si="14"/>
        <v>0</v>
      </c>
      <c r="J305" s="26"/>
    </row>
    <row r="306" spans="1:10" s="53" customFormat="1" ht="12.75" x14ac:dyDescent="0.2">
      <c r="A306" s="30">
        <v>45989</v>
      </c>
      <c r="B306" s="26" t="s">
        <v>50</v>
      </c>
      <c r="C306" s="12" t="s">
        <v>15</v>
      </c>
      <c r="D306" s="26" t="s">
        <v>299</v>
      </c>
      <c r="E306" s="13" t="s">
        <v>53</v>
      </c>
      <c r="F306" s="13" t="s">
        <v>75</v>
      </c>
      <c r="G306" s="27">
        <v>3</v>
      </c>
      <c r="H306" s="27">
        <v>4</v>
      </c>
      <c r="I306" s="27">
        <f t="shared" si="14"/>
        <v>1</v>
      </c>
      <c r="J306" s="26" t="s">
        <v>300</v>
      </c>
    </row>
    <row r="307" spans="1:10" ht="12.75" x14ac:dyDescent="0.2">
      <c r="A307" s="18"/>
      <c r="B307" s="20"/>
      <c r="C307" s="20"/>
      <c r="D307" s="20"/>
      <c r="E307" s="20" t="s">
        <v>16</v>
      </c>
      <c r="F307" s="20"/>
      <c r="G307" s="23">
        <f>SUM(G290:G306)</f>
        <v>40</v>
      </c>
      <c r="H307" s="23">
        <f>SUM(H290:H306)</f>
        <v>40</v>
      </c>
      <c r="I307" s="23">
        <f t="shared" si="14"/>
        <v>0</v>
      </c>
      <c r="J307" s="20"/>
    </row>
    <row r="308" spans="1:10" ht="18.75" customHeight="1" x14ac:dyDescent="0.2">
      <c r="A308" s="63" t="s">
        <v>67</v>
      </c>
      <c r="B308" s="56"/>
      <c r="C308" s="56"/>
      <c r="D308" s="56"/>
      <c r="E308" s="56"/>
      <c r="F308" s="56"/>
      <c r="G308" s="56"/>
      <c r="H308" s="56"/>
      <c r="I308" s="56"/>
      <c r="J308" s="57"/>
    </row>
    <row r="309" spans="1:10" ht="12.75" x14ac:dyDescent="0.2">
      <c r="A309" s="35" t="s">
        <v>11</v>
      </c>
      <c r="B309" s="64" t="s">
        <v>12</v>
      </c>
      <c r="C309" s="56"/>
      <c r="D309" s="56"/>
      <c r="E309" s="56"/>
      <c r="F309" s="56"/>
      <c r="G309" s="56"/>
      <c r="H309" s="56"/>
      <c r="I309" s="56"/>
      <c r="J309" s="57"/>
    </row>
    <row r="310" spans="1:10" ht="27.75" customHeight="1" x14ac:dyDescent="0.2">
      <c r="A310" s="36" t="s">
        <v>13</v>
      </c>
      <c r="B310" s="64" t="s">
        <v>14</v>
      </c>
      <c r="C310" s="56"/>
      <c r="D310" s="56"/>
      <c r="E310" s="56"/>
      <c r="F310" s="56"/>
      <c r="G310" s="56"/>
      <c r="H310" s="56"/>
      <c r="I310" s="56"/>
      <c r="J310" s="57"/>
    </row>
    <row r="311" spans="1:10" ht="12.75" x14ac:dyDescent="0.2">
      <c r="A311" s="30">
        <v>45992</v>
      </c>
      <c r="B311" s="26" t="s">
        <v>50</v>
      </c>
      <c r="C311" s="12" t="s">
        <v>15</v>
      </c>
      <c r="D311" s="26" t="s">
        <v>301</v>
      </c>
      <c r="E311" s="13" t="s">
        <v>53</v>
      </c>
      <c r="F311" s="13" t="s">
        <v>74</v>
      </c>
      <c r="G311" s="27">
        <v>4</v>
      </c>
      <c r="H311" s="27">
        <v>4</v>
      </c>
      <c r="I311" s="27">
        <f t="shared" ref="I311:I328" si="15">H311-G311</f>
        <v>0</v>
      </c>
      <c r="J311" s="26" t="s">
        <v>302</v>
      </c>
    </row>
    <row r="312" spans="1:10" ht="12.75" x14ac:dyDescent="0.2">
      <c r="A312" s="30">
        <v>45992</v>
      </c>
      <c r="B312" s="26" t="s">
        <v>50</v>
      </c>
      <c r="C312" s="12" t="s">
        <v>15</v>
      </c>
      <c r="D312" s="26" t="s">
        <v>85</v>
      </c>
      <c r="E312" s="13" t="s">
        <v>61</v>
      </c>
      <c r="F312" s="13" t="s">
        <v>41</v>
      </c>
      <c r="G312" s="27">
        <v>1</v>
      </c>
      <c r="H312" s="27">
        <v>1</v>
      </c>
      <c r="I312" s="27">
        <f t="shared" si="15"/>
        <v>0</v>
      </c>
      <c r="J312" s="26"/>
    </row>
    <row r="313" spans="1:10" s="53" customFormat="1" ht="12.75" x14ac:dyDescent="0.2">
      <c r="A313" s="30">
        <v>45992</v>
      </c>
      <c r="B313" s="26" t="s">
        <v>50</v>
      </c>
      <c r="C313" s="12" t="s">
        <v>15</v>
      </c>
      <c r="D313" s="26" t="s">
        <v>293</v>
      </c>
      <c r="E313" s="13" t="s">
        <v>53</v>
      </c>
      <c r="F313" s="13" t="s">
        <v>74</v>
      </c>
      <c r="G313" s="27">
        <v>3</v>
      </c>
      <c r="H313" s="27">
        <v>3</v>
      </c>
      <c r="I313" s="27">
        <v>0</v>
      </c>
      <c r="J313" s="26" t="s">
        <v>303</v>
      </c>
    </row>
    <row r="314" spans="1:10" s="53" customFormat="1" ht="12.75" x14ac:dyDescent="0.2">
      <c r="A314" s="30">
        <v>45993</v>
      </c>
      <c r="B314" s="26" t="s">
        <v>50</v>
      </c>
      <c r="C314" s="12" t="s">
        <v>15</v>
      </c>
      <c r="D314" s="26" t="s">
        <v>165</v>
      </c>
      <c r="E314" s="13" t="s">
        <v>45</v>
      </c>
      <c r="F314" s="13" t="s">
        <v>340</v>
      </c>
      <c r="G314" s="27">
        <v>1</v>
      </c>
      <c r="H314" s="27">
        <v>1</v>
      </c>
      <c r="I314" s="27">
        <v>0</v>
      </c>
      <c r="J314" s="26"/>
    </row>
    <row r="315" spans="1:10" s="53" customFormat="1" ht="12.75" x14ac:dyDescent="0.2">
      <c r="A315" s="30">
        <v>45993</v>
      </c>
      <c r="B315" s="26" t="s">
        <v>50</v>
      </c>
      <c r="C315" s="12" t="s">
        <v>15</v>
      </c>
      <c r="D315" s="26" t="s">
        <v>192</v>
      </c>
      <c r="E315" s="13" t="s">
        <v>45</v>
      </c>
      <c r="F315" s="13" t="s">
        <v>340</v>
      </c>
      <c r="G315" s="27">
        <v>1</v>
      </c>
      <c r="H315" s="27">
        <v>1</v>
      </c>
      <c r="I315" s="27">
        <v>0</v>
      </c>
      <c r="J315" s="26"/>
    </row>
    <row r="316" spans="1:10" s="53" customFormat="1" ht="12.75" x14ac:dyDescent="0.2">
      <c r="A316" s="30">
        <v>45993</v>
      </c>
      <c r="B316" s="26" t="s">
        <v>50</v>
      </c>
      <c r="C316" s="12" t="s">
        <v>15</v>
      </c>
      <c r="D316" s="26" t="s">
        <v>304</v>
      </c>
      <c r="E316" s="13" t="s">
        <v>53</v>
      </c>
      <c r="F316" s="13" t="s">
        <v>74</v>
      </c>
      <c r="G316" s="27">
        <v>2</v>
      </c>
      <c r="H316" s="27">
        <v>3</v>
      </c>
      <c r="I316" s="27">
        <v>1</v>
      </c>
      <c r="J316" s="26" t="s">
        <v>305</v>
      </c>
    </row>
    <row r="317" spans="1:10" s="53" customFormat="1" ht="12.75" x14ac:dyDescent="0.2">
      <c r="A317" s="30">
        <v>45993</v>
      </c>
      <c r="B317" s="26" t="s">
        <v>50</v>
      </c>
      <c r="C317" s="12" t="s">
        <v>15</v>
      </c>
      <c r="D317" s="26" t="s">
        <v>85</v>
      </c>
      <c r="E317" s="13" t="s">
        <v>61</v>
      </c>
      <c r="F317" s="13" t="s">
        <v>41</v>
      </c>
      <c r="G317" s="27">
        <v>1</v>
      </c>
      <c r="H317" s="27">
        <v>1</v>
      </c>
      <c r="I317" s="27">
        <v>0</v>
      </c>
      <c r="J317" s="26"/>
    </row>
    <row r="318" spans="1:10" s="53" customFormat="1" ht="12.75" x14ac:dyDescent="0.2">
      <c r="A318" s="30">
        <v>45993</v>
      </c>
      <c r="B318" s="26" t="s">
        <v>50</v>
      </c>
      <c r="C318" s="12" t="s">
        <v>15</v>
      </c>
      <c r="D318" s="26" t="s">
        <v>304</v>
      </c>
      <c r="E318" s="13" t="s">
        <v>53</v>
      </c>
      <c r="F318" s="13" t="s">
        <v>74</v>
      </c>
      <c r="G318" s="27">
        <v>3</v>
      </c>
      <c r="H318" s="27">
        <v>3</v>
      </c>
      <c r="I318" s="27">
        <v>0</v>
      </c>
      <c r="J318" s="26" t="s">
        <v>306</v>
      </c>
    </row>
    <row r="319" spans="1:10" s="53" customFormat="1" ht="12.75" x14ac:dyDescent="0.2">
      <c r="A319" s="30">
        <v>45994</v>
      </c>
      <c r="B319" s="26" t="s">
        <v>50</v>
      </c>
      <c r="C319" s="12" t="s">
        <v>15</v>
      </c>
      <c r="D319" s="26" t="s">
        <v>307</v>
      </c>
      <c r="E319" s="13" t="s">
        <v>53</v>
      </c>
      <c r="F319" s="13" t="s">
        <v>74</v>
      </c>
      <c r="G319" s="27">
        <v>3</v>
      </c>
      <c r="H319" s="27">
        <v>3</v>
      </c>
      <c r="I319" s="27">
        <v>0</v>
      </c>
      <c r="J319" s="26" t="s">
        <v>308</v>
      </c>
    </row>
    <row r="320" spans="1:10" s="53" customFormat="1" ht="12.75" x14ac:dyDescent="0.2">
      <c r="A320" s="30">
        <v>45994</v>
      </c>
      <c r="B320" s="26" t="s">
        <v>50</v>
      </c>
      <c r="C320" s="12" t="s">
        <v>15</v>
      </c>
      <c r="D320" s="26" t="s">
        <v>85</v>
      </c>
      <c r="E320" s="13" t="s">
        <v>61</v>
      </c>
      <c r="F320" s="13" t="s">
        <v>41</v>
      </c>
      <c r="G320" s="27">
        <v>1</v>
      </c>
      <c r="H320" s="27">
        <v>1</v>
      </c>
      <c r="I320" s="27">
        <v>0</v>
      </c>
      <c r="J320" s="26"/>
    </row>
    <row r="321" spans="1:10" s="53" customFormat="1" ht="12.75" x14ac:dyDescent="0.2">
      <c r="A321" s="30">
        <v>45994</v>
      </c>
      <c r="B321" s="26" t="s">
        <v>50</v>
      </c>
      <c r="C321" s="12" t="s">
        <v>15</v>
      </c>
      <c r="D321" s="26" t="s">
        <v>307</v>
      </c>
      <c r="E321" s="13" t="s">
        <v>53</v>
      </c>
      <c r="F321" s="13" t="s">
        <v>74</v>
      </c>
      <c r="G321" s="27">
        <v>3</v>
      </c>
      <c r="H321" s="27">
        <v>3</v>
      </c>
      <c r="I321" s="27">
        <v>0</v>
      </c>
      <c r="J321" s="26" t="s">
        <v>308</v>
      </c>
    </row>
    <row r="322" spans="1:10" s="53" customFormat="1" ht="12.75" x14ac:dyDescent="0.2">
      <c r="A322" s="30">
        <v>45995</v>
      </c>
      <c r="B322" s="26" t="s">
        <v>50</v>
      </c>
      <c r="C322" s="12" t="s">
        <v>15</v>
      </c>
      <c r="D322" s="26" t="s">
        <v>304</v>
      </c>
      <c r="E322" s="13" t="s">
        <v>53</v>
      </c>
      <c r="F322" s="13" t="s">
        <v>74</v>
      </c>
      <c r="G322" s="27">
        <v>3</v>
      </c>
      <c r="H322" s="27">
        <v>3</v>
      </c>
      <c r="I322" s="27">
        <v>0</v>
      </c>
      <c r="J322" s="26" t="s">
        <v>309</v>
      </c>
    </row>
    <row r="323" spans="1:10" ht="12.75" x14ac:dyDescent="0.2">
      <c r="A323" s="30">
        <v>45995</v>
      </c>
      <c r="B323" s="26" t="s">
        <v>50</v>
      </c>
      <c r="C323" s="12" t="s">
        <v>15</v>
      </c>
      <c r="D323" s="26" t="s">
        <v>85</v>
      </c>
      <c r="E323" s="13" t="s">
        <v>61</v>
      </c>
      <c r="F323" s="13" t="s">
        <v>41</v>
      </c>
      <c r="G323" s="27">
        <v>1</v>
      </c>
      <c r="H323" s="27">
        <v>1</v>
      </c>
      <c r="I323" s="27">
        <f t="shared" si="15"/>
        <v>0</v>
      </c>
      <c r="J323" s="26"/>
    </row>
    <row r="324" spans="1:10" ht="12.75" x14ac:dyDescent="0.2">
      <c r="A324" s="30">
        <v>45995</v>
      </c>
      <c r="B324" s="26" t="s">
        <v>50</v>
      </c>
      <c r="C324" s="12" t="s">
        <v>15</v>
      </c>
      <c r="D324" s="26" t="s">
        <v>310</v>
      </c>
      <c r="E324" s="13" t="s">
        <v>53</v>
      </c>
      <c r="F324" s="13" t="s">
        <v>74</v>
      </c>
      <c r="G324" s="27">
        <v>3</v>
      </c>
      <c r="H324" s="27">
        <v>3</v>
      </c>
      <c r="I324" s="27">
        <f t="shared" si="15"/>
        <v>0</v>
      </c>
      <c r="J324" s="26" t="s">
        <v>311</v>
      </c>
    </row>
    <row r="325" spans="1:10" ht="12.75" x14ac:dyDescent="0.2">
      <c r="A325" s="30">
        <v>45996</v>
      </c>
      <c r="B325" s="26" t="s">
        <v>50</v>
      </c>
      <c r="C325" s="12" t="s">
        <v>15</v>
      </c>
      <c r="D325" s="26" t="s">
        <v>304</v>
      </c>
      <c r="E325" s="13" t="s">
        <v>53</v>
      </c>
      <c r="F325" s="13" t="s">
        <v>74</v>
      </c>
      <c r="G325" s="27">
        <v>3</v>
      </c>
      <c r="H325" s="27">
        <v>2</v>
      </c>
      <c r="I325" s="27">
        <f t="shared" si="15"/>
        <v>-1</v>
      </c>
      <c r="J325" s="26" t="s">
        <v>312</v>
      </c>
    </row>
    <row r="326" spans="1:10" ht="12.75" x14ac:dyDescent="0.2">
      <c r="A326" s="30">
        <v>45996</v>
      </c>
      <c r="B326" s="26" t="s">
        <v>50</v>
      </c>
      <c r="C326" s="12" t="s">
        <v>15</v>
      </c>
      <c r="D326" s="26" t="s">
        <v>85</v>
      </c>
      <c r="E326" s="13" t="s">
        <v>61</v>
      </c>
      <c r="F326" s="13" t="s">
        <v>41</v>
      </c>
      <c r="G326" s="27">
        <v>1</v>
      </c>
      <c r="H326" s="27">
        <v>1</v>
      </c>
      <c r="I326" s="27">
        <f t="shared" si="15"/>
        <v>0</v>
      </c>
      <c r="J326" s="26"/>
    </row>
    <row r="327" spans="1:10" ht="12.75" x14ac:dyDescent="0.2">
      <c r="A327" s="30">
        <v>45996</v>
      </c>
      <c r="B327" s="26" t="s">
        <v>50</v>
      </c>
      <c r="C327" s="12" t="s">
        <v>15</v>
      </c>
      <c r="D327" s="26" t="s">
        <v>313</v>
      </c>
      <c r="E327" s="13" t="s">
        <v>53</v>
      </c>
      <c r="F327" s="13" t="s">
        <v>74</v>
      </c>
      <c r="G327" s="27">
        <v>3</v>
      </c>
      <c r="H327" s="27">
        <v>3</v>
      </c>
      <c r="I327" s="27">
        <f t="shared" si="15"/>
        <v>0</v>
      </c>
      <c r="J327" s="26" t="s">
        <v>314</v>
      </c>
    </row>
    <row r="328" spans="1:10" ht="12.75" x14ac:dyDescent="0.2">
      <c r="A328" s="18"/>
      <c r="B328" s="20"/>
      <c r="C328" s="20"/>
      <c r="D328" s="20"/>
      <c r="E328" s="20" t="s">
        <v>16</v>
      </c>
      <c r="F328" s="20"/>
      <c r="G328" s="23">
        <f>SUM(G311:G327)</f>
        <v>37</v>
      </c>
      <c r="H328" s="23">
        <f>SUM(H311:H327)</f>
        <v>37</v>
      </c>
      <c r="I328" s="23">
        <f t="shared" si="15"/>
        <v>0</v>
      </c>
      <c r="J328" s="20"/>
    </row>
    <row r="329" spans="1:10" ht="18.75" customHeight="1" x14ac:dyDescent="0.2">
      <c r="A329" s="65" t="s">
        <v>68</v>
      </c>
      <c r="B329" s="56"/>
      <c r="C329" s="56"/>
      <c r="D329" s="56"/>
      <c r="E329" s="56"/>
      <c r="F329" s="56"/>
      <c r="G329" s="56"/>
      <c r="H329" s="56"/>
      <c r="I329" s="56"/>
      <c r="J329" s="57"/>
    </row>
    <row r="330" spans="1:10" ht="12.75" x14ac:dyDescent="0.2">
      <c r="A330" s="37" t="s">
        <v>11</v>
      </c>
      <c r="B330" s="55" t="s">
        <v>12</v>
      </c>
      <c r="C330" s="56"/>
      <c r="D330" s="56"/>
      <c r="E330" s="56"/>
      <c r="F330" s="56"/>
      <c r="G330" s="56"/>
      <c r="H330" s="56"/>
      <c r="I330" s="56"/>
      <c r="J330" s="57"/>
    </row>
    <row r="331" spans="1:10" ht="28.5" customHeight="1" x14ac:dyDescent="0.2">
      <c r="A331" s="38" t="s">
        <v>13</v>
      </c>
      <c r="B331" s="55" t="s">
        <v>14</v>
      </c>
      <c r="C331" s="56"/>
      <c r="D331" s="56"/>
      <c r="E331" s="56"/>
      <c r="F331" s="56"/>
      <c r="G331" s="56"/>
      <c r="H331" s="56"/>
      <c r="I331" s="56"/>
      <c r="J331" s="57"/>
    </row>
    <row r="332" spans="1:10" ht="12.75" x14ac:dyDescent="0.2">
      <c r="A332" s="30">
        <v>45999</v>
      </c>
      <c r="B332" s="26" t="s">
        <v>50</v>
      </c>
      <c r="C332" s="12" t="s">
        <v>15</v>
      </c>
      <c r="D332" s="26" t="s">
        <v>163</v>
      </c>
      <c r="E332" s="13" t="s">
        <v>53</v>
      </c>
      <c r="F332" s="13" t="s">
        <v>74</v>
      </c>
      <c r="G332" s="27">
        <v>4</v>
      </c>
      <c r="H332" s="27">
        <v>4</v>
      </c>
      <c r="I332" s="27">
        <f t="shared" ref="I332:I349" si="16">H332-G332</f>
        <v>0</v>
      </c>
      <c r="J332" s="26"/>
    </row>
    <row r="333" spans="1:10" ht="12.75" x14ac:dyDescent="0.2">
      <c r="A333" s="30">
        <v>45999</v>
      </c>
      <c r="B333" s="26" t="s">
        <v>50</v>
      </c>
      <c r="C333" s="12" t="s">
        <v>15</v>
      </c>
      <c r="D333" s="26" t="s">
        <v>85</v>
      </c>
      <c r="E333" s="13" t="s">
        <v>61</v>
      </c>
      <c r="F333" s="13" t="s">
        <v>41</v>
      </c>
      <c r="G333" s="27">
        <v>1</v>
      </c>
      <c r="H333" s="27">
        <v>1</v>
      </c>
      <c r="I333" s="27">
        <f t="shared" si="16"/>
        <v>0</v>
      </c>
      <c r="J333" s="26"/>
    </row>
    <row r="334" spans="1:10" ht="12.75" x14ac:dyDescent="0.2">
      <c r="A334" s="30">
        <v>45999</v>
      </c>
      <c r="B334" s="26" t="s">
        <v>50</v>
      </c>
      <c r="C334" s="12" t="s">
        <v>15</v>
      </c>
      <c r="D334" s="26" t="s">
        <v>163</v>
      </c>
      <c r="E334" s="13" t="s">
        <v>53</v>
      </c>
      <c r="F334" s="13" t="s">
        <v>74</v>
      </c>
      <c r="G334" s="27">
        <v>4</v>
      </c>
      <c r="H334" s="27">
        <v>4</v>
      </c>
      <c r="I334" s="27">
        <f t="shared" si="16"/>
        <v>0</v>
      </c>
      <c r="J334" s="26" t="s">
        <v>191</v>
      </c>
    </row>
    <row r="335" spans="1:10" ht="12.75" x14ac:dyDescent="0.2">
      <c r="A335" s="30">
        <v>46000</v>
      </c>
      <c r="B335" s="26" t="s">
        <v>50</v>
      </c>
      <c r="C335" s="12" t="s">
        <v>15</v>
      </c>
      <c r="D335" s="26" t="s">
        <v>165</v>
      </c>
      <c r="E335" s="13" t="s">
        <v>45</v>
      </c>
      <c r="F335" s="13" t="s">
        <v>340</v>
      </c>
      <c r="G335" s="27">
        <v>1</v>
      </c>
      <c r="H335" s="27">
        <v>1</v>
      </c>
      <c r="I335" s="27">
        <f t="shared" si="16"/>
        <v>0</v>
      </c>
      <c r="J335" s="26"/>
    </row>
    <row r="336" spans="1:10" ht="12.75" x14ac:dyDescent="0.2">
      <c r="A336" s="30">
        <v>46000</v>
      </c>
      <c r="B336" s="26" t="s">
        <v>50</v>
      </c>
      <c r="C336" s="12" t="s">
        <v>15</v>
      </c>
      <c r="D336" s="26" t="s">
        <v>192</v>
      </c>
      <c r="E336" s="13" t="s">
        <v>45</v>
      </c>
      <c r="F336" s="13" t="s">
        <v>340</v>
      </c>
      <c r="G336" s="27">
        <v>1</v>
      </c>
      <c r="H336" s="27">
        <v>1</v>
      </c>
      <c r="I336" s="27">
        <f t="shared" si="16"/>
        <v>0</v>
      </c>
      <c r="J336" s="26"/>
    </row>
    <row r="337" spans="1:10" ht="12.75" x14ac:dyDescent="0.2">
      <c r="A337" s="30">
        <v>46000</v>
      </c>
      <c r="B337" s="26" t="s">
        <v>50</v>
      </c>
      <c r="C337" s="12" t="s">
        <v>15</v>
      </c>
      <c r="D337" s="26" t="s">
        <v>85</v>
      </c>
      <c r="E337" s="13" t="s">
        <v>61</v>
      </c>
      <c r="F337" s="13" t="s">
        <v>41</v>
      </c>
      <c r="G337" s="27">
        <v>1</v>
      </c>
      <c r="H337" s="27">
        <v>1</v>
      </c>
      <c r="I337" s="27">
        <f t="shared" si="16"/>
        <v>0</v>
      </c>
      <c r="J337" s="26"/>
    </row>
    <row r="338" spans="1:10" ht="12.75" x14ac:dyDescent="0.2">
      <c r="A338" s="30">
        <v>46000</v>
      </c>
      <c r="B338" s="26" t="s">
        <v>50</v>
      </c>
      <c r="C338" s="12" t="s">
        <v>15</v>
      </c>
      <c r="D338" s="26" t="s">
        <v>163</v>
      </c>
      <c r="E338" s="13" t="s">
        <v>53</v>
      </c>
      <c r="F338" s="13" t="s">
        <v>74</v>
      </c>
      <c r="G338" s="27">
        <v>3</v>
      </c>
      <c r="H338" s="27">
        <v>3</v>
      </c>
      <c r="I338" s="27">
        <f t="shared" si="16"/>
        <v>0</v>
      </c>
      <c r="J338" s="26" t="s">
        <v>193</v>
      </c>
    </row>
    <row r="339" spans="1:10" ht="12.75" x14ac:dyDescent="0.2">
      <c r="A339" s="30">
        <v>46001</v>
      </c>
      <c r="B339" s="26" t="s">
        <v>50</v>
      </c>
      <c r="C339" s="12" t="s">
        <v>15</v>
      </c>
      <c r="D339" s="26" t="s">
        <v>163</v>
      </c>
      <c r="E339" s="13" t="s">
        <v>53</v>
      </c>
      <c r="F339" s="13" t="s">
        <v>74</v>
      </c>
      <c r="G339" s="27">
        <v>3</v>
      </c>
      <c r="H339" s="27">
        <v>4</v>
      </c>
      <c r="I339" s="27">
        <f t="shared" si="16"/>
        <v>1</v>
      </c>
      <c r="J339" s="26" t="s">
        <v>315</v>
      </c>
    </row>
    <row r="340" spans="1:10" ht="12.75" x14ac:dyDescent="0.2">
      <c r="A340" s="30">
        <v>46001</v>
      </c>
      <c r="B340" s="26" t="s">
        <v>50</v>
      </c>
      <c r="C340" s="12" t="s">
        <v>15</v>
      </c>
      <c r="D340" s="26" t="s">
        <v>85</v>
      </c>
      <c r="E340" s="13" t="s">
        <v>61</v>
      </c>
      <c r="F340" s="13" t="s">
        <v>41</v>
      </c>
      <c r="G340" s="27">
        <v>1</v>
      </c>
      <c r="H340" s="27">
        <v>1</v>
      </c>
      <c r="I340" s="27">
        <f t="shared" si="16"/>
        <v>0</v>
      </c>
      <c r="J340" s="26"/>
    </row>
    <row r="341" spans="1:10" s="53" customFormat="1" ht="12.75" x14ac:dyDescent="0.2">
      <c r="A341" s="30">
        <v>46001</v>
      </c>
      <c r="B341" s="26" t="s">
        <v>50</v>
      </c>
      <c r="C341" s="12" t="s">
        <v>15</v>
      </c>
      <c r="D341" s="26" t="s">
        <v>316</v>
      </c>
      <c r="E341" s="13" t="s">
        <v>51</v>
      </c>
      <c r="F341" s="13" t="s">
        <v>75</v>
      </c>
      <c r="G341" s="27">
        <v>3</v>
      </c>
      <c r="H341" s="27">
        <v>3</v>
      </c>
      <c r="I341" s="27">
        <f t="shared" si="16"/>
        <v>0</v>
      </c>
      <c r="J341" s="26" t="s">
        <v>317</v>
      </c>
    </row>
    <row r="342" spans="1:10" s="53" customFormat="1" ht="12.75" x14ac:dyDescent="0.2">
      <c r="A342" s="30">
        <v>46002</v>
      </c>
      <c r="B342" s="26" t="s">
        <v>50</v>
      </c>
      <c r="C342" s="12" t="s">
        <v>15</v>
      </c>
      <c r="D342" s="26" t="s">
        <v>318</v>
      </c>
      <c r="E342" s="13" t="s">
        <v>53</v>
      </c>
      <c r="F342" s="13" t="s">
        <v>74</v>
      </c>
      <c r="G342" s="27">
        <v>3</v>
      </c>
      <c r="H342" s="27">
        <v>2</v>
      </c>
      <c r="I342" s="27">
        <f t="shared" si="16"/>
        <v>-1</v>
      </c>
      <c r="J342" s="26" t="s">
        <v>319</v>
      </c>
    </row>
    <row r="343" spans="1:10" s="53" customFormat="1" ht="12.75" x14ac:dyDescent="0.2">
      <c r="A343" s="30">
        <v>46002</v>
      </c>
      <c r="B343" s="26" t="s">
        <v>50</v>
      </c>
      <c r="C343" s="12" t="s">
        <v>15</v>
      </c>
      <c r="D343" s="26" t="s">
        <v>85</v>
      </c>
      <c r="E343" s="13" t="s">
        <v>61</v>
      </c>
      <c r="F343" s="13" t="s">
        <v>41</v>
      </c>
      <c r="G343" s="27">
        <v>1</v>
      </c>
      <c r="H343" s="27">
        <v>1</v>
      </c>
      <c r="I343" s="27">
        <f t="shared" si="16"/>
        <v>0</v>
      </c>
      <c r="J343" s="26"/>
    </row>
    <row r="344" spans="1:10" s="53" customFormat="1" ht="12.75" x14ac:dyDescent="0.2">
      <c r="A344" s="30">
        <v>46002</v>
      </c>
      <c r="B344" s="26" t="s">
        <v>50</v>
      </c>
      <c r="C344" s="12" t="s">
        <v>15</v>
      </c>
      <c r="D344" s="26" t="s">
        <v>318</v>
      </c>
      <c r="E344" s="13" t="s">
        <v>53</v>
      </c>
      <c r="F344" s="13" t="s">
        <v>74</v>
      </c>
      <c r="G344" s="27">
        <v>2</v>
      </c>
      <c r="H344" s="27">
        <v>2</v>
      </c>
      <c r="I344" s="27">
        <v>2</v>
      </c>
      <c r="J344" s="26" t="s">
        <v>319</v>
      </c>
    </row>
    <row r="345" spans="1:10" s="53" customFormat="1" ht="12.75" x14ac:dyDescent="0.2">
      <c r="A345" s="30">
        <v>46003</v>
      </c>
      <c r="B345" s="26" t="s">
        <v>50</v>
      </c>
      <c r="C345" s="12" t="s">
        <v>15</v>
      </c>
      <c r="D345" s="26" t="s">
        <v>320</v>
      </c>
      <c r="E345" s="13" t="s">
        <v>53</v>
      </c>
      <c r="F345" s="13" t="s">
        <v>74</v>
      </c>
      <c r="G345" s="27">
        <v>3</v>
      </c>
      <c r="H345" s="27">
        <v>3</v>
      </c>
      <c r="I345" s="27">
        <v>3</v>
      </c>
      <c r="J345" s="26" t="s">
        <v>321</v>
      </c>
    </row>
    <row r="346" spans="1:10" s="53" customFormat="1" ht="12.75" x14ac:dyDescent="0.2">
      <c r="A346" s="30">
        <v>46003</v>
      </c>
      <c r="B346" s="26" t="s">
        <v>50</v>
      </c>
      <c r="C346" s="12" t="s">
        <v>15</v>
      </c>
      <c r="D346" s="26" t="s">
        <v>85</v>
      </c>
      <c r="E346" s="13" t="s">
        <v>61</v>
      </c>
      <c r="F346" s="13" t="s">
        <v>41</v>
      </c>
      <c r="G346" s="27">
        <v>1</v>
      </c>
      <c r="H346" s="27">
        <v>1</v>
      </c>
      <c r="I346" s="27">
        <v>0</v>
      </c>
      <c r="J346" s="26"/>
    </row>
    <row r="347" spans="1:10" ht="12.75" x14ac:dyDescent="0.2">
      <c r="A347" s="30">
        <v>46003</v>
      </c>
      <c r="B347" s="26" t="s">
        <v>50</v>
      </c>
      <c r="C347" s="12" t="s">
        <v>15</v>
      </c>
      <c r="D347" s="26" t="s">
        <v>320</v>
      </c>
      <c r="E347" s="13" t="s">
        <v>53</v>
      </c>
      <c r="F347" s="13" t="s">
        <v>74</v>
      </c>
      <c r="G347" s="27">
        <v>1</v>
      </c>
      <c r="H347" s="27">
        <v>2</v>
      </c>
      <c r="I347" s="27">
        <f t="shared" si="16"/>
        <v>1</v>
      </c>
      <c r="J347" s="26"/>
    </row>
    <row r="348" spans="1:10" s="53" customFormat="1" ht="12.75" x14ac:dyDescent="0.2">
      <c r="A348" s="30">
        <v>46003</v>
      </c>
      <c r="B348" s="26" t="s">
        <v>50</v>
      </c>
      <c r="C348" s="12" t="s">
        <v>15</v>
      </c>
      <c r="D348" s="26" t="s">
        <v>288</v>
      </c>
      <c r="E348" s="13" t="s">
        <v>51</v>
      </c>
      <c r="F348" s="13" t="s">
        <v>75</v>
      </c>
      <c r="G348" s="27">
        <v>2</v>
      </c>
      <c r="H348" s="27">
        <v>3</v>
      </c>
      <c r="I348" s="27">
        <v>1</v>
      </c>
      <c r="J348" s="26" t="s">
        <v>322</v>
      </c>
    </row>
    <row r="349" spans="1:10" ht="12.75" x14ac:dyDescent="0.2">
      <c r="A349" s="18"/>
      <c r="B349" s="20"/>
      <c r="C349" s="20"/>
      <c r="D349" s="20"/>
      <c r="E349" s="20" t="s">
        <v>16</v>
      </c>
      <c r="F349" s="20"/>
      <c r="G349" s="23">
        <f>SUM(G332:G348)</f>
        <v>35</v>
      </c>
      <c r="H349" s="23">
        <f>SUM(H332:H348)</f>
        <v>37</v>
      </c>
      <c r="I349" s="23">
        <f t="shared" si="16"/>
        <v>2</v>
      </c>
      <c r="J349" s="20"/>
    </row>
    <row r="350" spans="1:10" ht="12.75" x14ac:dyDescent="0.2">
      <c r="A350" s="58" t="s">
        <v>69</v>
      </c>
      <c r="B350" s="56"/>
      <c r="C350" s="56"/>
      <c r="D350" s="56"/>
      <c r="E350" s="56"/>
      <c r="F350" s="56"/>
      <c r="G350" s="56"/>
      <c r="H350" s="56"/>
      <c r="I350" s="56"/>
      <c r="J350" s="57"/>
    </row>
    <row r="351" spans="1:10" ht="12.75" x14ac:dyDescent="0.2">
      <c r="A351" s="39" t="s">
        <v>11</v>
      </c>
      <c r="B351" s="59" t="s">
        <v>12</v>
      </c>
      <c r="C351" s="60"/>
      <c r="D351" s="60"/>
      <c r="E351" s="60"/>
      <c r="F351" s="60"/>
      <c r="G351" s="60"/>
      <c r="H351" s="60"/>
      <c r="I351" s="60"/>
      <c r="J351" s="61"/>
    </row>
    <row r="352" spans="1:10" ht="27.75" customHeight="1" x14ac:dyDescent="0.2">
      <c r="A352" s="40" t="s">
        <v>13</v>
      </c>
      <c r="B352" s="62" t="s">
        <v>14</v>
      </c>
      <c r="C352" s="60"/>
      <c r="D352" s="60"/>
      <c r="E352" s="60"/>
      <c r="F352" s="60"/>
      <c r="G352" s="60"/>
      <c r="H352" s="60"/>
      <c r="I352" s="60"/>
      <c r="J352" s="61"/>
    </row>
    <row r="353" spans="1:10" ht="12.75" x14ac:dyDescent="0.2">
      <c r="A353" s="30">
        <v>46006</v>
      </c>
      <c r="B353" s="26" t="s">
        <v>50</v>
      </c>
      <c r="C353" s="12" t="s">
        <v>15</v>
      </c>
      <c r="D353" s="26" t="s">
        <v>163</v>
      </c>
      <c r="E353" s="13" t="s">
        <v>51</v>
      </c>
      <c r="F353" s="13" t="s">
        <v>74</v>
      </c>
      <c r="G353" s="27">
        <v>4</v>
      </c>
      <c r="H353" s="27">
        <v>4</v>
      </c>
      <c r="I353" s="27">
        <f t="shared" ref="I353:I362" si="17">H353-G353</f>
        <v>0</v>
      </c>
      <c r="J353" s="26" t="s">
        <v>164</v>
      </c>
    </row>
    <row r="354" spans="1:10" ht="12.75" x14ac:dyDescent="0.2">
      <c r="A354" s="30">
        <v>46006</v>
      </c>
      <c r="B354" s="26" t="s">
        <v>50</v>
      </c>
      <c r="C354" s="12" t="s">
        <v>15</v>
      </c>
      <c r="D354" s="26" t="s">
        <v>85</v>
      </c>
      <c r="E354" s="13" t="s">
        <v>61</v>
      </c>
      <c r="F354" s="13" t="s">
        <v>41</v>
      </c>
      <c r="G354" s="27">
        <v>1</v>
      </c>
      <c r="H354" s="27">
        <v>1</v>
      </c>
      <c r="I354" s="27">
        <f t="shared" si="17"/>
        <v>0</v>
      </c>
      <c r="J354" s="26"/>
    </row>
    <row r="355" spans="1:10" ht="12.75" x14ac:dyDescent="0.2">
      <c r="A355" s="30">
        <v>46006</v>
      </c>
      <c r="B355" s="26" t="s">
        <v>50</v>
      </c>
      <c r="C355" s="12" t="s">
        <v>15</v>
      </c>
      <c r="D355" s="26" t="s">
        <v>163</v>
      </c>
      <c r="E355" s="13" t="s">
        <v>51</v>
      </c>
      <c r="F355" s="13" t="s">
        <v>74</v>
      </c>
      <c r="G355" s="27">
        <v>4</v>
      </c>
      <c r="H355" s="27">
        <v>3</v>
      </c>
      <c r="I355" s="27">
        <f t="shared" si="17"/>
        <v>-1</v>
      </c>
      <c r="J355" s="26" t="s">
        <v>164</v>
      </c>
    </row>
    <row r="356" spans="1:10" ht="12.75" x14ac:dyDescent="0.2">
      <c r="A356" s="30">
        <v>46007</v>
      </c>
      <c r="B356" s="26" t="s">
        <v>50</v>
      </c>
      <c r="C356" s="12" t="s">
        <v>15</v>
      </c>
      <c r="D356" s="26" t="s">
        <v>165</v>
      </c>
      <c r="E356" s="13" t="s">
        <v>45</v>
      </c>
      <c r="F356" s="13" t="s">
        <v>340</v>
      </c>
      <c r="G356" s="27">
        <v>1</v>
      </c>
      <c r="H356" s="27">
        <v>1</v>
      </c>
      <c r="I356" s="27">
        <f t="shared" si="17"/>
        <v>0</v>
      </c>
      <c r="J356" s="26"/>
    </row>
    <row r="357" spans="1:10" ht="12.75" x14ac:dyDescent="0.2">
      <c r="A357" s="30">
        <v>46007</v>
      </c>
      <c r="B357" s="26" t="s">
        <v>50</v>
      </c>
      <c r="C357" s="12" t="s">
        <v>15</v>
      </c>
      <c r="D357" s="26" t="s">
        <v>166</v>
      </c>
      <c r="E357" s="13" t="s">
        <v>53</v>
      </c>
      <c r="F357" s="13" t="s">
        <v>74</v>
      </c>
      <c r="G357" s="27">
        <v>1</v>
      </c>
      <c r="H357" s="27">
        <v>2</v>
      </c>
      <c r="I357" s="27">
        <f t="shared" si="17"/>
        <v>1</v>
      </c>
      <c r="J357" s="26"/>
    </row>
    <row r="358" spans="1:10" ht="12.75" x14ac:dyDescent="0.2">
      <c r="A358" s="30">
        <v>46007</v>
      </c>
      <c r="B358" s="26" t="s">
        <v>50</v>
      </c>
      <c r="C358" s="12" t="s">
        <v>15</v>
      </c>
      <c r="D358" s="26" t="s">
        <v>343</v>
      </c>
      <c r="E358" s="13" t="s">
        <v>45</v>
      </c>
      <c r="F358" s="13" t="s">
        <v>340</v>
      </c>
      <c r="G358" s="27">
        <v>1</v>
      </c>
      <c r="H358" s="27">
        <v>1.5</v>
      </c>
      <c r="I358" s="27">
        <f t="shared" si="17"/>
        <v>0.5</v>
      </c>
      <c r="J358" s="26" t="s">
        <v>167</v>
      </c>
    </row>
    <row r="359" spans="1:10" s="49" customFormat="1" ht="12.75" x14ac:dyDescent="0.2">
      <c r="A359" s="30">
        <v>46007</v>
      </c>
      <c r="B359" s="26" t="s">
        <v>50</v>
      </c>
      <c r="C359" s="12" t="s">
        <v>15</v>
      </c>
      <c r="D359" s="26" t="s">
        <v>85</v>
      </c>
      <c r="E359" s="13" t="s">
        <v>61</v>
      </c>
      <c r="F359" s="13" t="s">
        <v>41</v>
      </c>
      <c r="G359" s="27">
        <v>1</v>
      </c>
      <c r="H359" s="27">
        <v>1</v>
      </c>
      <c r="I359" s="27">
        <f t="shared" si="17"/>
        <v>0</v>
      </c>
      <c r="J359" s="26"/>
    </row>
    <row r="360" spans="1:10" ht="12.75" x14ac:dyDescent="0.2">
      <c r="A360" s="30">
        <v>46007</v>
      </c>
      <c r="B360" s="26" t="s">
        <v>50</v>
      </c>
      <c r="C360" s="12" t="s">
        <v>15</v>
      </c>
      <c r="D360" s="26" t="s">
        <v>166</v>
      </c>
      <c r="E360" s="13" t="s">
        <v>53</v>
      </c>
      <c r="F360" s="13" t="s">
        <v>74</v>
      </c>
      <c r="G360" s="27">
        <v>3</v>
      </c>
      <c r="H360" s="27">
        <v>3</v>
      </c>
      <c r="I360" s="27">
        <f t="shared" si="17"/>
        <v>0</v>
      </c>
      <c r="J360" s="26"/>
    </row>
    <row r="361" spans="1:10" ht="12.75" x14ac:dyDescent="0.2">
      <c r="A361" s="30">
        <v>46008</v>
      </c>
      <c r="B361" s="26" t="s">
        <v>50</v>
      </c>
      <c r="C361" s="12" t="s">
        <v>15</v>
      </c>
      <c r="D361" s="26" t="s">
        <v>168</v>
      </c>
      <c r="E361" s="13" t="s">
        <v>53</v>
      </c>
      <c r="F361" s="13" t="s">
        <v>74</v>
      </c>
      <c r="G361" s="27">
        <v>3</v>
      </c>
      <c r="H361" s="27">
        <v>3</v>
      </c>
      <c r="I361" s="27">
        <f t="shared" si="17"/>
        <v>0</v>
      </c>
      <c r="J361" s="26" t="s">
        <v>169</v>
      </c>
    </row>
    <row r="362" spans="1:10" ht="12.75" x14ac:dyDescent="0.2">
      <c r="A362" s="30">
        <v>46008</v>
      </c>
      <c r="B362" s="26" t="s">
        <v>50</v>
      </c>
      <c r="C362" s="12" t="s">
        <v>15</v>
      </c>
      <c r="D362" s="26" t="s">
        <v>85</v>
      </c>
      <c r="E362" s="13" t="s">
        <v>61</v>
      </c>
      <c r="F362" s="13" t="s">
        <v>41</v>
      </c>
      <c r="G362" s="27">
        <v>1</v>
      </c>
      <c r="H362" s="27">
        <v>1</v>
      </c>
      <c r="I362" s="27">
        <f t="shared" si="17"/>
        <v>0</v>
      </c>
      <c r="J362" s="26"/>
    </row>
    <row r="363" spans="1:10" ht="12.75" x14ac:dyDescent="0.2">
      <c r="A363" s="30">
        <v>46008</v>
      </c>
      <c r="B363" s="26" t="s">
        <v>50</v>
      </c>
      <c r="C363" s="12" t="s">
        <v>15</v>
      </c>
      <c r="D363" s="26" t="s">
        <v>172</v>
      </c>
      <c r="E363" s="13" t="s">
        <v>55</v>
      </c>
      <c r="F363" s="13" t="s">
        <v>340</v>
      </c>
      <c r="G363" s="27">
        <v>3</v>
      </c>
      <c r="H363" s="27">
        <v>3.5</v>
      </c>
      <c r="I363" s="27">
        <f t="shared" ref="I363:I369" si="18">H363-G363</f>
        <v>0.5</v>
      </c>
      <c r="J363" s="26" t="s">
        <v>170</v>
      </c>
    </row>
    <row r="364" spans="1:10" s="49" customFormat="1" ht="12.75" x14ac:dyDescent="0.2">
      <c r="A364" s="30">
        <v>46009</v>
      </c>
      <c r="B364" s="26" t="s">
        <v>50</v>
      </c>
      <c r="C364" s="12" t="s">
        <v>15</v>
      </c>
      <c r="D364" s="26" t="s">
        <v>171</v>
      </c>
      <c r="E364" s="13" t="s">
        <v>45</v>
      </c>
      <c r="F364" s="13" t="s">
        <v>340</v>
      </c>
      <c r="G364" s="27">
        <v>2</v>
      </c>
      <c r="H364" s="27">
        <v>2.5</v>
      </c>
      <c r="I364" s="27">
        <f t="shared" si="18"/>
        <v>0.5</v>
      </c>
      <c r="J364" s="26" t="s">
        <v>173</v>
      </c>
    </row>
    <row r="365" spans="1:10" s="49" customFormat="1" ht="12.75" x14ac:dyDescent="0.2">
      <c r="A365" s="30">
        <v>46009</v>
      </c>
      <c r="B365" s="26" t="s">
        <v>50</v>
      </c>
      <c r="C365" s="12" t="s">
        <v>15</v>
      </c>
      <c r="D365" s="26" t="s">
        <v>85</v>
      </c>
      <c r="E365" s="13" t="s">
        <v>61</v>
      </c>
      <c r="F365" s="13" t="s">
        <v>41</v>
      </c>
      <c r="G365" s="27">
        <v>1</v>
      </c>
      <c r="H365" s="27">
        <v>1</v>
      </c>
      <c r="I365" s="27">
        <f t="shared" si="18"/>
        <v>0</v>
      </c>
      <c r="J365" s="26"/>
    </row>
    <row r="366" spans="1:10" s="49" customFormat="1" ht="12.75" x14ac:dyDescent="0.2">
      <c r="A366" s="30">
        <v>46009</v>
      </c>
      <c r="B366" s="26" t="s">
        <v>50</v>
      </c>
      <c r="C366" s="12" t="s">
        <v>15</v>
      </c>
      <c r="D366" s="26" t="s">
        <v>174</v>
      </c>
      <c r="E366" s="13" t="s">
        <v>53</v>
      </c>
      <c r="F366" s="13" t="s">
        <v>74</v>
      </c>
      <c r="G366" s="27">
        <v>3</v>
      </c>
      <c r="H366" s="27">
        <v>3</v>
      </c>
      <c r="I366" s="27">
        <f t="shared" si="18"/>
        <v>0</v>
      </c>
      <c r="J366" s="26"/>
    </row>
    <row r="367" spans="1:10" s="49" customFormat="1" ht="12.75" x14ac:dyDescent="0.2">
      <c r="A367" s="30">
        <v>46010</v>
      </c>
      <c r="B367" s="26" t="s">
        <v>50</v>
      </c>
      <c r="C367" s="12" t="s">
        <v>15</v>
      </c>
      <c r="D367" s="26" t="s">
        <v>175</v>
      </c>
      <c r="E367" s="13" t="s">
        <v>53</v>
      </c>
      <c r="F367" s="13" t="s">
        <v>340</v>
      </c>
      <c r="G367" s="27">
        <v>2</v>
      </c>
      <c r="H367" s="27">
        <v>2</v>
      </c>
      <c r="I367" s="27">
        <f t="shared" si="18"/>
        <v>0</v>
      </c>
      <c r="J367" s="26" t="s">
        <v>176</v>
      </c>
    </row>
    <row r="368" spans="1:10" s="49" customFormat="1" ht="12.75" x14ac:dyDescent="0.2">
      <c r="A368" s="30">
        <v>46010</v>
      </c>
      <c r="B368" s="26" t="s">
        <v>50</v>
      </c>
      <c r="C368" s="12" t="s">
        <v>15</v>
      </c>
      <c r="D368" s="26" t="s">
        <v>85</v>
      </c>
      <c r="E368" s="13" t="s">
        <v>61</v>
      </c>
      <c r="F368" s="13" t="s">
        <v>41</v>
      </c>
      <c r="G368" s="27">
        <v>1</v>
      </c>
      <c r="H368" s="27">
        <v>1</v>
      </c>
      <c r="I368" s="27">
        <f t="shared" si="18"/>
        <v>0</v>
      </c>
      <c r="J368" s="26"/>
    </row>
    <row r="369" spans="1:10" s="49" customFormat="1" ht="12.75" x14ac:dyDescent="0.2">
      <c r="A369" s="30">
        <v>46010</v>
      </c>
      <c r="B369" s="26" t="s">
        <v>50</v>
      </c>
      <c r="C369" s="12" t="s">
        <v>15</v>
      </c>
      <c r="D369" s="26" t="s">
        <v>177</v>
      </c>
      <c r="E369" s="13" t="s">
        <v>53</v>
      </c>
      <c r="F369" s="13" t="s">
        <v>75</v>
      </c>
      <c r="G369" s="27">
        <v>4</v>
      </c>
      <c r="H369" s="27">
        <v>4</v>
      </c>
      <c r="I369" s="27">
        <f t="shared" si="18"/>
        <v>0</v>
      </c>
      <c r="J369" s="26"/>
    </row>
    <row r="370" spans="1:10" ht="12.75" x14ac:dyDescent="0.2">
      <c r="A370" s="18"/>
      <c r="B370" s="20"/>
      <c r="C370" s="20"/>
      <c r="D370" s="20"/>
      <c r="E370" s="20" t="s">
        <v>16</v>
      </c>
      <c r="F370" s="20"/>
      <c r="G370" s="23">
        <f>SUM(G353:G369)</f>
        <v>36</v>
      </c>
      <c r="H370" s="23">
        <f>SUM(H353:H369)</f>
        <v>37.5</v>
      </c>
      <c r="I370" s="23">
        <f t="shared" ref="I370" si="19">H370-G370</f>
        <v>1.5</v>
      </c>
      <c r="J370" s="20"/>
    </row>
    <row r="371" spans="1:10" ht="12.75" x14ac:dyDescent="0.2">
      <c r="A371" s="73" t="s">
        <v>82</v>
      </c>
      <c r="B371" s="60"/>
      <c r="C371" s="60"/>
      <c r="D371" s="60"/>
      <c r="E371" s="60"/>
      <c r="F371" s="60"/>
      <c r="G371" s="60"/>
      <c r="H371" s="60"/>
      <c r="I371" s="60"/>
      <c r="J371" s="60"/>
    </row>
    <row r="372" spans="1:10" ht="15" customHeight="1" x14ac:dyDescent="0.2">
      <c r="A372" s="7" t="s">
        <v>11</v>
      </c>
      <c r="B372" s="74" t="s">
        <v>12</v>
      </c>
      <c r="C372" s="56"/>
      <c r="D372" s="56"/>
      <c r="E372" s="56"/>
      <c r="F372" s="56"/>
      <c r="G372" s="56"/>
      <c r="H372" s="56"/>
      <c r="I372" s="56"/>
      <c r="J372" s="57"/>
    </row>
    <row r="373" spans="1:10" ht="24" x14ac:dyDescent="0.2">
      <c r="A373" s="10" t="s">
        <v>13</v>
      </c>
      <c r="B373" s="74" t="s">
        <v>14</v>
      </c>
      <c r="C373" s="56"/>
      <c r="D373" s="56"/>
      <c r="E373" s="56"/>
      <c r="F373" s="56"/>
      <c r="G373" s="56"/>
      <c r="H373" s="56"/>
      <c r="I373" s="56"/>
      <c r="J373" s="57"/>
    </row>
    <row r="374" spans="1:10" ht="15" customHeight="1" x14ac:dyDescent="0.2">
      <c r="A374" s="30">
        <v>46013</v>
      </c>
      <c r="B374" s="26" t="s">
        <v>50</v>
      </c>
      <c r="C374" s="12" t="s">
        <v>15</v>
      </c>
      <c r="D374" s="26" t="s">
        <v>178</v>
      </c>
      <c r="E374" s="13" t="s">
        <v>53</v>
      </c>
      <c r="F374" s="13" t="s">
        <v>74</v>
      </c>
      <c r="G374" s="27">
        <v>3</v>
      </c>
      <c r="H374" s="27">
        <v>3</v>
      </c>
      <c r="I374" s="27">
        <f t="shared" ref="I374:I385" si="20">H374-G374</f>
        <v>0</v>
      </c>
      <c r="J374" s="26" t="s">
        <v>179</v>
      </c>
    </row>
    <row r="375" spans="1:10" ht="15" customHeight="1" x14ac:dyDescent="0.2">
      <c r="A375" s="30">
        <v>46013</v>
      </c>
      <c r="B375" s="26" t="s">
        <v>50</v>
      </c>
      <c r="C375" s="12" t="s">
        <v>15</v>
      </c>
      <c r="D375" s="26" t="s">
        <v>85</v>
      </c>
      <c r="E375" s="13" t="s">
        <v>61</v>
      </c>
      <c r="F375" s="13" t="s">
        <v>41</v>
      </c>
      <c r="G375" s="27">
        <v>1</v>
      </c>
      <c r="H375" s="27">
        <v>1</v>
      </c>
      <c r="I375" s="27">
        <f t="shared" si="20"/>
        <v>0</v>
      </c>
      <c r="J375" s="15"/>
    </row>
    <row r="376" spans="1:10" ht="15" customHeight="1" x14ac:dyDescent="0.2">
      <c r="A376" s="30">
        <v>46013</v>
      </c>
      <c r="B376" s="26" t="s">
        <v>50</v>
      </c>
      <c r="C376" s="12" t="s">
        <v>15</v>
      </c>
      <c r="D376" s="26" t="s">
        <v>178</v>
      </c>
      <c r="E376" s="13" t="s">
        <v>53</v>
      </c>
      <c r="F376" s="13" t="s">
        <v>74</v>
      </c>
      <c r="G376" s="27">
        <v>2</v>
      </c>
      <c r="H376" s="27">
        <v>3</v>
      </c>
      <c r="I376" s="27">
        <f t="shared" si="20"/>
        <v>1</v>
      </c>
      <c r="J376" s="15" t="s">
        <v>180</v>
      </c>
    </row>
    <row r="377" spans="1:10" ht="15" customHeight="1" x14ac:dyDescent="0.2">
      <c r="A377" s="30">
        <v>46014</v>
      </c>
      <c r="B377" s="26" t="s">
        <v>50</v>
      </c>
      <c r="C377" s="12" t="s">
        <v>15</v>
      </c>
      <c r="D377" s="26" t="s">
        <v>165</v>
      </c>
      <c r="E377" s="13" t="s">
        <v>45</v>
      </c>
      <c r="F377" s="13" t="s">
        <v>340</v>
      </c>
      <c r="G377" s="27">
        <v>1</v>
      </c>
      <c r="H377" s="27">
        <v>1</v>
      </c>
      <c r="I377" s="27">
        <f t="shared" si="20"/>
        <v>0</v>
      </c>
      <c r="J377" s="15"/>
    </row>
    <row r="378" spans="1:10" ht="15" customHeight="1" x14ac:dyDescent="0.2">
      <c r="A378" s="30">
        <v>46014</v>
      </c>
      <c r="B378" s="26" t="s">
        <v>50</v>
      </c>
      <c r="C378" s="12" t="s">
        <v>15</v>
      </c>
      <c r="D378" s="26" t="s">
        <v>181</v>
      </c>
      <c r="E378" s="13" t="s">
        <v>53</v>
      </c>
      <c r="F378" s="13" t="s">
        <v>75</v>
      </c>
      <c r="G378" s="27">
        <v>2</v>
      </c>
      <c r="H378" s="27">
        <v>2</v>
      </c>
      <c r="I378" s="27">
        <f t="shared" si="20"/>
        <v>0</v>
      </c>
      <c r="J378" s="15" t="s">
        <v>182</v>
      </c>
    </row>
    <row r="379" spans="1:10" ht="15" customHeight="1" x14ac:dyDescent="0.2">
      <c r="A379" s="30">
        <v>46014</v>
      </c>
      <c r="B379" s="26" t="s">
        <v>50</v>
      </c>
      <c r="C379" s="12" t="s">
        <v>15</v>
      </c>
      <c r="D379" s="26" t="s">
        <v>85</v>
      </c>
      <c r="E379" s="13" t="s">
        <v>61</v>
      </c>
      <c r="F379" s="13" t="s">
        <v>41</v>
      </c>
      <c r="G379" s="27">
        <v>1</v>
      </c>
      <c r="H379" s="27">
        <v>1</v>
      </c>
      <c r="I379" s="27">
        <f t="shared" si="20"/>
        <v>0</v>
      </c>
      <c r="J379" s="15"/>
    </row>
    <row r="380" spans="1:10" ht="15" customHeight="1" x14ac:dyDescent="0.2">
      <c r="A380" s="30">
        <v>46014</v>
      </c>
      <c r="B380" s="26" t="s">
        <v>50</v>
      </c>
      <c r="C380" s="12" t="s">
        <v>15</v>
      </c>
      <c r="D380" s="26" t="s">
        <v>183</v>
      </c>
      <c r="E380" s="13" t="s">
        <v>53</v>
      </c>
      <c r="F380" s="13" t="s">
        <v>74</v>
      </c>
      <c r="G380" s="27">
        <v>3</v>
      </c>
      <c r="H380" s="27">
        <v>4</v>
      </c>
      <c r="I380" s="27">
        <f t="shared" si="20"/>
        <v>1</v>
      </c>
      <c r="J380" s="15" t="s">
        <v>184</v>
      </c>
    </row>
    <row r="381" spans="1:10" ht="15" customHeight="1" x14ac:dyDescent="0.2">
      <c r="A381" s="30">
        <v>46014</v>
      </c>
      <c r="B381" s="26" t="s">
        <v>50</v>
      </c>
      <c r="C381" s="12" t="s">
        <v>15</v>
      </c>
      <c r="D381" s="26" t="s">
        <v>185</v>
      </c>
      <c r="E381" s="13" t="s">
        <v>53</v>
      </c>
      <c r="F381" s="13" t="s">
        <v>74</v>
      </c>
      <c r="G381" s="27">
        <v>2</v>
      </c>
      <c r="H381" s="27">
        <v>2</v>
      </c>
      <c r="I381" s="27">
        <f t="shared" si="20"/>
        <v>0</v>
      </c>
      <c r="J381" s="15"/>
    </row>
    <row r="382" spans="1:10" ht="15" customHeight="1" x14ac:dyDescent="0.2">
      <c r="A382" s="30">
        <v>46015</v>
      </c>
      <c r="B382" s="26" t="s">
        <v>50</v>
      </c>
      <c r="C382" s="12" t="s">
        <v>15</v>
      </c>
      <c r="D382" s="26" t="s">
        <v>186</v>
      </c>
      <c r="E382" s="13" t="s">
        <v>61</v>
      </c>
      <c r="F382" s="13" t="s">
        <v>41</v>
      </c>
      <c r="G382" s="27">
        <v>8</v>
      </c>
      <c r="H382" s="27">
        <v>8</v>
      </c>
      <c r="I382" s="27">
        <f t="shared" si="20"/>
        <v>0</v>
      </c>
      <c r="J382" s="15"/>
    </row>
    <row r="383" spans="1:10" ht="15" customHeight="1" x14ac:dyDescent="0.2">
      <c r="A383" s="30">
        <v>46016</v>
      </c>
      <c r="B383" s="26" t="s">
        <v>50</v>
      </c>
      <c r="C383" s="12" t="s">
        <v>15</v>
      </c>
      <c r="D383" s="26" t="s">
        <v>186</v>
      </c>
      <c r="E383" s="13" t="s">
        <v>61</v>
      </c>
      <c r="F383" s="13" t="s">
        <v>41</v>
      </c>
      <c r="G383" s="27">
        <v>8</v>
      </c>
      <c r="H383" s="27">
        <v>8</v>
      </c>
      <c r="I383" s="27">
        <f t="shared" si="20"/>
        <v>0</v>
      </c>
      <c r="J383" s="15"/>
    </row>
    <row r="384" spans="1:10" s="49" customFormat="1" ht="15" customHeight="1" x14ac:dyDescent="0.2">
      <c r="A384" s="30">
        <v>46017</v>
      </c>
      <c r="B384" s="26" t="s">
        <v>50</v>
      </c>
      <c r="C384" s="12" t="s">
        <v>15</v>
      </c>
      <c r="D384" s="26" t="s">
        <v>186</v>
      </c>
      <c r="E384" s="13" t="s">
        <v>61</v>
      </c>
      <c r="F384" s="13" t="s">
        <v>41</v>
      </c>
      <c r="G384" s="27">
        <v>8</v>
      </c>
      <c r="H384" s="27">
        <v>8</v>
      </c>
      <c r="I384" s="27">
        <f t="shared" si="20"/>
        <v>0</v>
      </c>
      <c r="J384" s="15"/>
    </row>
    <row r="385" spans="1:10" ht="15" customHeight="1" x14ac:dyDescent="0.2">
      <c r="A385" s="18"/>
      <c r="B385" s="20"/>
      <c r="C385" s="20"/>
      <c r="D385" s="20"/>
      <c r="E385" s="20" t="s">
        <v>16</v>
      </c>
      <c r="F385" s="20"/>
      <c r="G385" s="23">
        <f>SUM(G374:G384)</f>
        <v>39</v>
      </c>
      <c r="H385" s="23">
        <f>SUM(H374:H384)</f>
        <v>41</v>
      </c>
      <c r="I385" s="23">
        <f t="shared" si="20"/>
        <v>2</v>
      </c>
      <c r="J385" s="20"/>
    </row>
    <row r="386" spans="1:10" ht="15" customHeight="1" x14ac:dyDescent="0.2">
      <c r="A386" s="75" t="s">
        <v>81</v>
      </c>
      <c r="B386" s="60"/>
      <c r="C386" s="60"/>
      <c r="D386" s="60"/>
      <c r="E386" s="60"/>
      <c r="F386" s="60"/>
      <c r="G386" s="60"/>
      <c r="H386" s="60"/>
      <c r="I386" s="60"/>
      <c r="J386" s="60"/>
    </row>
    <row r="387" spans="1:10" ht="15" customHeight="1" x14ac:dyDescent="0.2">
      <c r="A387" s="43" t="s">
        <v>11</v>
      </c>
      <c r="B387" s="69" t="s">
        <v>12</v>
      </c>
      <c r="C387" s="56"/>
      <c r="D387" s="56"/>
      <c r="E387" s="56"/>
      <c r="F387" s="56"/>
      <c r="G387" s="56"/>
      <c r="H387" s="56"/>
      <c r="I387" s="56"/>
      <c r="J387" s="57"/>
    </row>
    <row r="388" spans="1:10" ht="15" customHeight="1" x14ac:dyDescent="0.2">
      <c r="A388" s="24" t="s">
        <v>13</v>
      </c>
      <c r="B388" s="69" t="s">
        <v>18</v>
      </c>
      <c r="C388" s="56"/>
      <c r="D388" s="56"/>
      <c r="E388" s="56"/>
      <c r="F388" s="56"/>
      <c r="G388" s="56"/>
      <c r="H388" s="56"/>
      <c r="I388" s="56"/>
      <c r="J388" s="57"/>
    </row>
    <row r="389" spans="1:10" ht="15" customHeight="1" x14ac:dyDescent="0.2">
      <c r="A389" s="25">
        <v>46020</v>
      </c>
      <c r="B389" s="26" t="s">
        <v>50</v>
      </c>
      <c r="C389" s="12" t="s">
        <v>15</v>
      </c>
      <c r="D389" s="26" t="s">
        <v>187</v>
      </c>
      <c r="E389" s="13" t="s">
        <v>53</v>
      </c>
      <c r="F389" s="13" t="s">
        <v>74</v>
      </c>
      <c r="G389" s="27">
        <v>4</v>
      </c>
      <c r="H389" s="27">
        <v>4</v>
      </c>
      <c r="I389" s="27">
        <f t="shared" ref="I389:I399" si="21">H389-G389</f>
        <v>0</v>
      </c>
      <c r="J389" s="26" t="s">
        <v>188</v>
      </c>
    </row>
    <row r="390" spans="1:10" ht="15" customHeight="1" x14ac:dyDescent="0.2">
      <c r="A390" s="25">
        <v>46020</v>
      </c>
      <c r="B390" s="26" t="s">
        <v>50</v>
      </c>
      <c r="C390" s="12" t="s">
        <v>15</v>
      </c>
      <c r="D390" s="26" t="s">
        <v>85</v>
      </c>
      <c r="E390" s="13" t="s">
        <v>61</v>
      </c>
      <c r="F390" s="13" t="s">
        <v>41</v>
      </c>
      <c r="G390" s="27">
        <v>1</v>
      </c>
      <c r="H390" s="27">
        <v>1</v>
      </c>
      <c r="I390" s="27">
        <f t="shared" si="21"/>
        <v>0</v>
      </c>
      <c r="J390" s="26"/>
    </row>
    <row r="391" spans="1:10" ht="15" customHeight="1" x14ac:dyDescent="0.2">
      <c r="A391" s="25">
        <v>46020</v>
      </c>
      <c r="B391" s="26" t="s">
        <v>50</v>
      </c>
      <c r="C391" s="12" t="s">
        <v>15</v>
      </c>
      <c r="D391" s="26" t="s">
        <v>178</v>
      </c>
      <c r="E391" s="13" t="s">
        <v>53</v>
      </c>
      <c r="F391" s="13" t="s">
        <v>74</v>
      </c>
      <c r="G391" s="27">
        <v>3</v>
      </c>
      <c r="H391" s="27">
        <v>3</v>
      </c>
      <c r="I391" s="27">
        <f t="shared" si="21"/>
        <v>0</v>
      </c>
      <c r="J391" s="26"/>
    </row>
    <row r="392" spans="1:10" ht="15" customHeight="1" x14ac:dyDescent="0.2">
      <c r="A392" s="25">
        <v>46021</v>
      </c>
      <c r="B392" s="26" t="s">
        <v>50</v>
      </c>
      <c r="C392" s="12" t="s">
        <v>15</v>
      </c>
      <c r="D392" s="26" t="s">
        <v>165</v>
      </c>
      <c r="E392" s="13" t="s">
        <v>45</v>
      </c>
      <c r="F392" s="13" t="s">
        <v>340</v>
      </c>
      <c r="G392" s="27">
        <v>1</v>
      </c>
      <c r="H392" s="27">
        <v>1</v>
      </c>
      <c r="I392" s="27">
        <f t="shared" si="21"/>
        <v>0</v>
      </c>
      <c r="J392" s="26"/>
    </row>
    <row r="393" spans="1:10" ht="15" customHeight="1" x14ac:dyDescent="0.2">
      <c r="A393" s="25">
        <v>46021</v>
      </c>
      <c r="B393" s="26" t="s">
        <v>50</v>
      </c>
      <c r="C393" s="12" t="s">
        <v>15</v>
      </c>
      <c r="D393" s="26" t="s">
        <v>189</v>
      </c>
      <c r="E393" s="13" t="s">
        <v>53</v>
      </c>
      <c r="F393" s="13" t="s">
        <v>74</v>
      </c>
      <c r="G393" s="27">
        <v>2</v>
      </c>
      <c r="H393" s="27">
        <v>3</v>
      </c>
      <c r="I393" s="27">
        <f t="shared" si="21"/>
        <v>1</v>
      </c>
      <c r="J393" s="26"/>
    </row>
    <row r="394" spans="1:10" ht="15" customHeight="1" x14ac:dyDescent="0.2">
      <c r="A394" s="25">
        <v>46021</v>
      </c>
      <c r="B394" s="26" t="s">
        <v>50</v>
      </c>
      <c r="C394" s="12" t="s">
        <v>15</v>
      </c>
      <c r="D394" s="26" t="s">
        <v>85</v>
      </c>
      <c r="E394" s="13" t="s">
        <v>61</v>
      </c>
      <c r="F394" s="13" t="s">
        <v>41</v>
      </c>
      <c r="G394" s="27">
        <v>1</v>
      </c>
      <c r="H394" s="27">
        <v>1</v>
      </c>
      <c r="I394" s="27">
        <f t="shared" si="21"/>
        <v>0</v>
      </c>
      <c r="J394" s="26"/>
    </row>
    <row r="395" spans="1:10" ht="15" customHeight="1" x14ac:dyDescent="0.2">
      <c r="A395" s="25">
        <v>46021</v>
      </c>
      <c r="B395" s="26" t="s">
        <v>50</v>
      </c>
      <c r="C395" s="12" t="s">
        <v>15</v>
      </c>
      <c r="D395" s="26" t="s">
        <v>189</v>
      </c>
      <c r="E395" s="13" t="s">
        <v>53</v>
      </c>
      <c r="F395" s="13" t="s">
        <v>74</v>
      </c>
      <c r="G395" s="27">
        <v>2</v>
      </c>
      <c r="H395" s="27">
        <v>2</v>
      </c>
      <c r="I395" s="27">
        <f t="shared" si="21"/>
        <v>0</v>
      </c>
      <c r="J395" s="26"/>
    </row>
    <row r="396" spans="1:10" ht="15" customHeight="1" x14ac:dyDescent="0.2">
      <c r="A396" s="25">
        <v>46022</v>
      </c>
      <c r="B396" s="26" t="s">
        <v>50</v>
      </c>
      <c r="C396" s="12" t="s">
        <v>15</v>
      </c>
      <c r="D396" s="26" t="s">
        <v>190</v>
      </c>
      <c r="E396" s="13" t="s">
        <v>61</v>
      </c>
      <c r="F396" s="13" t="s">
        <v>41</v>
      </c>
      <c r="G396" s="27">
        <v>8</v>
      </c>
      <c r="H396" s="27">
        <v>8</v>
      </c>
      <c r="I396" s="27">
        <f t="shared" si="21"/>
        <v>0</v>
      </c>
      <c r="J396" s="26"/>
    </row>
    <row r="397" spans="1:10" ht="15" customHeight="1" x14ac:dyDescent="0.2">
      <c r="A397" s="25">
        <v>46023</v>
      </c>
      <c r="B397" s="26" t="s">
        <v>50</v>
      </c>
      <c r="C397" s="12" t="s">
        <v>15</v>
      </c>
      <c r="D397" s="26" t="s">
        <v>190</v>
      </c>
      <c r="E397" s="13" t="s">
        <v>61</v>
      </c>
      <c r="F397" s="13" t="s">
        <v>41</v>
      </c>
      <c r="G397" s="27">
        <v>8</v>
      </c>
      <c r="H397" s="27">
        <v>8</v>
      </c>
      <c r="I397" s="27">
        <f t="shared" si="21"/>
        <v>0</v>
      </c>
      <c r="J397" s="26"/>
    </row>
    <row r="398" spans="1:10" ht="15" customHeight="1" x14ac:dyDescent="0.2">
      <c r="A398" s="25">
        <v>46024</v>
      </c>
      <c r="B398" s="26" t="s">
        <v>50</v>
      </c>
      <c r="C398" s="12" t="s">
        <v>15</v>
      </c>
      <c r="D398" s="26" t="s">
        <v>190</v>
      </c>
      <c r="E398" s="13" t="s">
        <v>61</v>
      </c>
      <c r="F398" s="13" t="s">
        <v>41</v>
      </c>
      <c r="G398" s="27">
        <v>8</v>
      </c>
      <c r="H398" s="27">
        <v>8</v>
      </c>
      <c r="I398" s="27">
        <f t="shared" si="21"/>
        <v>0</v>
      </c>
      <c r="J398" s="26"/>
    </row>
    <row r="399" spans="1:10" ht="15" customHeight="1" x14ac:dyDescent="0.2">
      <c r="A399" s="18"/>
      <c r="B399" s="20"/>
      <c r="C399" s="20"/>
      <c r="D399" s="20"/>
      <c r="E399" s="20" t="s">
        <v>16</v>
      </c>
      <c r="F399" s="20"/>
      <c r="G399" s="23">
        <f t="shared" ref="G399:H399" si="22">SUM(G387:G398)</f>
        <v>38</v>
      </c>
      <c r="H399" s="23">
        <f t="shared" si="22"/>
        <v>39</v>
      </c>
      <c r="I399" s="23">
        <f t="shared" si="21"/>
        <v>1</v>
      </c>
      <c r="J399" s="20"/>
    </row>
    <row r="400" spans="1:10" ht="15" customHeight="1" x14ac:dyDescent="0.2">
      <c r="A400" s="70" t="s">
        <v>80</v>
      </c>
      <c r="B400" s="56"/>
      <c r="C400" s="56"/>
      <c r="D400" s="56"/>
      <c r="E400" s="56"/>
      <c r="F400" s="56"/>
      <c r="G400" s="56"/>
      <c r="H400" s="56"/>
      <c r="I400" s="56"/>
      <c r="J400" s="57"/>
    </row>
    <row r="401" spans="1:10" ht="15" customHeight="1" x14ac:dyDescent="0.2">
      <c r="A401" s="28" t="s">
        <v>11</v>
      </c>
      <c r="B401" s="71" t="s">
        <v>12</v>
      </c>
      <c r="C401" s="56"/>
      <c r="D401" s="56"/>
      <c r="E401" s="56"/>
      <c r="F401" s="56"/>
      <c r="G401" s="56"/>
      <c r="H401" s="56"/>
      <c r="I401" s="56"/>
      <c r="J401" s="57"/>
    </row>
    <row r="402" spans="1:10" ht="15" customHeight="1" x14ac:dyDescent="0.2">
      <c r="A402" s="29" t="s">
        <v>13</v>
      </c>
      <c r="B402" s="71" t="s">
        <v>14</v>
      </c>
      <c r="C402" s="56"/>
      <c r="D402" s="56"/>
      <c r="E402" s="56"/>
      <c r="F402" s="56"/>
      <c r="G402" s="56"/>
      <c r="H402" s="56"/>
      <c r="I402" s="56"/>
      <c r="J402" s="57"/>
    </row>
    <row r="403" spans="1:10" ht="15" customHeight="1" x14ac:dyDescent="0.2">
      <c r="A403" s="30">
        <v>46027</v>
      </c>
      <c r="B403" s="26" t="s">
        <v>50</v>
      </c>
      <c r="C403" s="12" t="s">
        <v>15</v>
      </c>
      <c r="D403" s="26" t="s">
        <v>178</v>
      </c>
      <c r="E403" s="13" t="s">
        <v>53</v>
      </c>
      <c r="F403" s="13" t="s">
        <v>74</v>
      </c>
      <c r="G403" s="27">
        <v>3</v>
      </c>
      <c r="H403" s="27">
        <v>3</v>
      </c>
      <c r="I403" s="27">
        <f t="shared" ref="I403:I422" si="23">H403-G403</f>
        <v>0</v>
      </c>
      <c r="J403" s="26"/>
    </row>
    <row r="404" spans="1:10" ht="15" customHeight="1" x14ac:dyDescent="0.2">
      <c r="A404" s="30">
        <v>46027</v>
      </c>
      <c r="B404" s="26" t="s">
        <v>50</v>
      </c>
      <c r="C404" s="12" t="s">
        <v>15</v>
      </c>
      <c r="D404" s="26" t="s">
        <v>85</v>
      </c>
      <c r="E404" s="13" t="s">
        <v>61</v>
      </c>
      <c r="F404" s="13" t="s">
        <v>41</v>
      </c>
      <c r="G404" s="27">
        <v>1</v>
      </c>
      <c r="H404" s="27">
        <v>1</v>
      </c>
      <c r="I404" s="27">
        <f t="shared" si="23"/>
        <v>0</v>
      </c>
      <c r="J404" s="26"/>
    </row>
    <row r="405" spans="1:10" ht="15" customHeight="1" x14ac:dyDescent="0.2">
      <c r="A405" s="30">
        <v>46027</v>
      </c>
      <c r="B405" s="26" t="s">
        <v>50</v>
      </c>
      <c r="C405" s="12" t="s">
        <v>15</v>
      </c>
      <c r="D405" s="26" t="s">
        <v>194</v>
      </c>
      <c r="E405" s="13" t="s">
        <v>53</v>
      </c>
      <c r="F405" s="13" t="s">
        <v>345</v>
      </c>
      <c r="G405" s="27">
        <v>3</v>
      </c>
      <c r="H405" s="27">
        <v>3</v>
      </c>
      <c r="I405" s="27">
        <f t="shared" si="23"/>
        <v>0</v>
      </c>
      <c r="J405" s="26" t="s">
        <v>195</v>
      </c>
    </row>
    <row r="406" spans="1:10" ht="15" customHeight="1" x14ac:dyDescent="0.2">
      <c r="A406" s="30">
        <v>46028</v>
      </c>
      <c r="B406" s="26" t="s">
        <v>50</v>
      </c>
      <c r="C406" s="12" t="s">
        <v>15</v>
      </c>
      <c r="D406" s="26" t="s">
        <v>165</v>
      </c>
      <c r="E406" s="13" t="s">
        <v>45</v>
      </c>
      <c r="F406" s="13" t="s">
        <v>340</v>
      </c>
      <c r="G406" s="27">
        <v>1</v>
      </c>
      <c r="H406" s="27">
        <v>1</v>
      </c>
      <c r="I406" s="27">
        <f t="shared" si="23"/>
        <v>0</v>
      </c>
      <c r="J406" s="26"/>
    </row>
    <row r="407" spans="1:10" ht="15" customHeight="1" x14ac:dyDescent="0.2">
      <c r="A407" s="30">
        <v>46028</v>
      </c>
      <c r="B407" s="26" t="s">
        <v>50</v>
      </c>
      <c r="C407" s="12" t="s">
        <v>15</v>
      </c>
      <c r="D407" s="26" t="s">
        <v>196</v>
      </c>
      <c r="E407" s="13" t="s">
        <v>53</v>
      </c>
      <c r="F407" s="13" t="s">
        <v>340</v>
      </c>
      <c r="G407" s="27">
        <v>1</v>
      </c>
      <c r="H407" s="27">
        <v>1</v>
      </c>
      <c r="I407" s="27">
        <f t="shared" si="23"/>
        <v>0</v>
      </c>
      <c r="J407" s="26"/>
    </row>
    <row r="408" spans="1:10" ht="15" customHeight="1" x14ac:dyDescent="0.2">
      <c r="A408" s="30">
        <v>46028</v>
      </c>
      <c r="B408" s="26" t="s">
        <v>50</v>
      </c>
      <c r="C408" s="12" t="s">
        <v>15</v>
      </c>
      <c r="D408" s="26" t="s">
        <v>194</v>
      </c>
      <c r="E408" s="13" t="s">
        <v>53</v>
      </c>
      <c r="F408" s="13" t="s">
        <v>345</v>
      </c>
      <c r="G408" s="27">
        <v>1</v>
      </c>
      <c r="H408" s="27">
        <v>2</v>
      </c>
      <c r="I408" s="27">
        <f t="shared" si="23"/>
        <v>1</v>
      </c>
      <c r="J408" s="26" t="s">
        <v>195</v>
      </c>
    </row>
    <row r="409" spans="1:10" ht="15" customHeight="1" x14ac:dyDescent="0.2">
      <c r="A409" s="30">
        <v>46028</v>
      </c>
      <c r="B409" s="26" t="s">
        <v>50</v>
      </c>
      <c r="C409" s="12" t="s">
        <v>15</v>
      </c>
      <c r="D409" s="26" t="s">
        <v>85</v>
      </c>
      <c r="E409" s="13" t="s">
        <v>61</v>
      </c>
      <c r="F409" s="13" t="s">
        <v>41</v>
      </c>
      <c r="G409" s="27">
        <v>1</v>
      </c>
      <c r="H409" s="27">
        <v>1</v>
      </c>
      <c r="I409" s="27">
        <f t="shared" si="23"/>
        <v>0</v>
      </c>
      <c r="J409" s="26"/>
    </row>
    <row r="410" spans="1:10" ht="15" customHeight="1" x14ac:dyDescent="0.2">
      <c r="A410" s="30">
        <v>46028</v>
      </c>
      <c r="B410" s="26" t="s">
        <v>50</v>
      </c>
      <c r="C410" s="12" t="s">
        <v>15</v>
      </c>
      <c r="D410" s="26" t="s">
        <v>194</v>
      </c>
      <c r="E410" s="13" t="s">
        <v>53</v>
      </c>
      <c r="F410" s="13" t="s">
        <v>344</v>
      </c>
      <c r="G410" s="27">
        <v>3</v>
      </c>
      <c r="H410" s="27">
        <v>3</v>
      </c>
      <c r="I410" s="27">
        <f t="shared" si="23"/>
        <v>0</v>
      </c>
      <c r="J410" s="26" t="s">
        <v>197</v>
      </c>
    </row>
    <row r="411" spans="1:10" ht="15" customHeight="1" x14ac:dyDescent="0.2">
      <c r="A411" s="30">
        <v>46029</v>
      </c>
      <c r="B411" s="26" t="s">
        <v>50</v>
      </c>
      <c r="C411" s="12" t="s">
        <v>15</v>
      </c>
      <c r="D411" s="26" t="s">
        <v>198</v>
      </c>
      <c r="E411" s="13" t="s">
        <v>53</v>
      </c>
      <c r="F411" s="13" t="s">
        <v>344</v>
      </c>
      <c r="G411" s="27">
        <v>3</v>
      </c>
      <c r="H411" s="27">
        <v>2.5</v>
      </c>
      <c r="I411" s="27">
        <f t="shared" si="23"/>
        <v>-0.5</v>
      </c>
      <c r="J411" s="81" t="s">
        <v>349</v>
      </c>
    </row>
    <row r="412" spans="1:10" s="54" customFormat="1" ht="15" customHeight="1" x14ac:dyDescent="0.2">
      <c r="A412" s="30" t="s">
        <v>346</v>
      </c>
      <c r="B412" s="26" t="s">
        <v>50</v>
      </c>
      <c r="C412" s="12" t="s">
        <v>15</v>
      </c>
      <c r="D412" s="26" t="s">
        <v>85</v>
      </c>
      <c r="E412" s="13" t="s">
        <v>61</v>
      </c>
      <c r="F412" s="13" t="s">
        <v>41</v>
      </c>
      <c r="G412" s="27">
        <v>1</v>
      </c>
      <c r="H412" s="27">
        <v>1</v>
      </c>
      <c r="I412" s="27">
        <f t="shared" si="23"/>
        <v>0</v>
      </c>
      <c r="J412" s="26"/>
    </row>
    <row r="413" spans="1:10" ht="15" customHeight="1" x14ac:dyDescent="0.2">
      <c r="A413" s="30">
        <v>46029</v>
      </c>
      <c r="B413" s="26" t="s">
        <v>50</v>
      </c>
      <c r="C413" s="12" t="s">
        <v>15</v>
      </c>
      <c r="D413" s="26" t="s">
        <v>198</v>
      </c>
      <c r="E413" s="13" t="s">
        <v>53</v>
      </c>
      <c r="F413" s="13" t="s">
        <v>344</v>
      </c>
      <c r="G413" s="27">
        <v>3</v>
      </c>
      <c r="H413" s="27">
        <v>3</v>
      </c>
      <c r="I413" s="27">
        <f t="shared" si="23"/>
        <v>0</v>
      </c>
      <c r="J413" s="26" t="s">
        <v>199</v>
      </c>
    </row>
    <row r="414" spans="1:10" s="50" customFormat="1" ht="15" customHeight="1" x14ac:dyDescent="0.2">
      <c r="A414" s="30">
        <v>46030</v>
      </c>
      <c r="B414" s="26" t="s">
        <v>50</v>
      </c>
      <c r="C414" s="12" t="s">
        <v>15</v>
      </c>
      <c r="D414" s="26" t="s">
        <v>200</v>
      </c>
      <c r="E414" s="13" t="s">
        <v>59</v>
      </c>
      <c r="F414" s="13" t="s">
        <v>344</v>
      </c>
      <c r="G414" s="27">
        <v>3</v>
      </c>
      <c r="H414" s="27">
        <v>3</v>
      </c>
      <c r="I414" s="27">
        <f t="shared" si="23"/>
        <v>0</v>
      </c>
      <c r="J414" s="26"/>
    </row>
    <row r="415" spans="1:10" s="50" customFormat="1" ht="15" customHeight="1" x14ac:dyDescent="0.2">
      <c r="A415" s="30">
        <v>46030</v>
      </c>
      <c r="B415" s="26" t="s">
        <v>50</v>
      </c>
      <c r="C415" s="12" t="s">
        <v>15</v>
      </c>
      <c r="D415" s="26" t="s">
        <v>85</v>
      </c>
      <c r="E415" s="13" t="s">
        <v>61</v>
      </c>
      <c r="F415" s="13" t="s">
        <v>41</v>
      </c>
      <c r="G415" s="27">
        <v>1</v>
      </c>
      <c r="H415" s="27">
        <v>1</v>
      </c>
      <c r="I415" s="27">
        <f t="shared" si="23"/>
        <v>0</v>
      </c>
      <c r="J415" s="26"/>
    </row>
    <row r="416" spans="1:10" s="50" customFormat="1" ht="15" customHeight="1" x14ac:dyDescent="0.2">
      <c r="A416" s="30">
        <v>46030</v>
      </c>
      <c r="B416" s="26" t="s">
        <v>50</v>
      </c>
      <c r="C416" s="12" t="s">
        <v>15</v>
      </c>
      <c r="D416" s="26" t="s">
        <v>201</v>
      </c>
      <c r="E416" s="13" t="s">
        <v>45</v>
      </c>
      <c r="F416" s="13" t="s">
        <v>344</v>
      </c>
      <c r="G416" s="27">
        <v>0.5</v>
      </c>
      <c r="H416" s="27">
        <v>0.5</v>
      </c>
      <c r="I416" s="27">
        <f t="shared" si="23"/>
        <v>0</v>
      </c>
      <c r="J416" s="81" t="s">
        <v>349</v>
      </c>
    </row>
    <row r="417" spans="1:10" s="50" customFormat="1" ht="15" customHeight="1" x14ac:dyDescent="0.2">
      <c r="A417" s="30">
        <v>46030</v>
      </c>
      <c r="B417" s="26" t="s">
        <v>50</v>
      </c>
      <c r="C417" s="12" t="s">
        <v>15</v>
      </c>
      <c r="D417" s="26" t="s">
        <v>202</v>
      </c>
      <c r="E417" s="13" t="s">
        <v>45</v>
      </c>
      <c r="F417" s="13" t="s">
        <v>344</v>
      </c>
      <c r="G417" s="27">
        <v>4</v>
      </c>
      <c r="H417" s="27">
        <v>3</v>
      </c>
      <c r="I417" s="27">
        <f t="shared" si="23"/>
        <v>-1</v>
      </c>
      <c r="J417" s="26"/>
    </row>
    <row r="418" spans="1:10" s="50" customFormat="1" ht="15" customHeight="1" x14ac:dyDescent="0.2">
      <c r="A418" s="30">
        <v>46031</v>
      </c>
      <c r="B418" s="26" t="s">
        <v>50</v>
      </c>
      <c r="C418" s="12" t="s">
        <v>15</v>
      </c>
      <c r="D418" s="26" t="s">
        <v>205</v>
      </c>
      <c r="E418" s="13" t="s">
        <v>53</v>
      </c>
      <c r="F418" s="13" t="s">
        <v>74</v>
      </c>
      <c r="G418" s="27">
        <v>3</v>
      </c>
      <c r="H418" s="27">
        <v>3</v>
      </c>
      <c r="I418" s="27">
        <f t="shared" si="23"/>
        <v>0</v>
      </c>
      <c r="J418" s="26" t="s">
        <v>204</v>
      </c>
    </row>
    <row r="419" spans="1:10" s="50" customFormat="1" ht="15" customHeight="1" x14ac:dyDescent="0.2">
      <c r="A419" s="30">
        <v>46031</v>
      </c>
      <c r="B419" s="26" t="s">
        <v>50</v>
      </c>
      <c r="C419" s="12" t="s">
        <v>15</v>
      </c>
      <c r="D419" s="26" t="s">
        <v>85</v>
      </c>
      <c r="E419" s="13" t="s">
        <v>61</v>
      </c>
      <c r="F419" s="13" t="s">
        <v>41</v>
      </c>
      <c r="G419" s="27">
        <v>1</v>
      </c>
      <c r="H419" s="27">
        <v>1</v>
      </c>
      <c r="I419" s="27">
        <f t="shared" si="23"/>
        <v>0</v>
      </c>
      <c r="J419" s="26"/>
    </row>
    <row r="420" spans="1:10" s="50" customFormat="1" ht="15" customHeight="1" x14ac:dyDescent="0.2">
      <c r="A420" s="30">
        <v>46031</v>
      </c>
      <c r="B420" s="26" t="s">
        <v>50</v>
      </c>
      <c r="C420" s="12" t="s">
        <v>15</v>
      </c>
      <c r="D420" s="26" t="s">
        <v>203</v>
      </c>
      <c r="E420" s="13" t="s">
        <v>53</v>
      </c>
      <c r="F420" s="13" t="s">
        <v>74</v>
      </c>
      <c r="G420" s="27">
        <v>2</v>
      </c>
      <c r="H420" s="27">
        <v>3</v>
      </c>
      <c r="I420" s="27">
        <f t="shared" si="23"/>
        <v>1</v>
      </c>
      <c r="J420" s="26" t="s">
        <v>206</v>
      </c>
    </row>
    <row r="421" spans="1:10" s="50" customFormat="1" ht="15" customHeight="1" x14ac:dyDescent="0.2">
      <c r="A421" s="30">
        <v>46031</v>
      </c>
      <c r="B421" s="26" t="s">
        <v>50</v>
      </c>
      <c r="C421" s="12" t="s">
        <v>15</v>
      </c>
      <c r="D421" s="26" t="s">
        <v>178</v>
      </c>
      <c r="E421" s="13" t="s">
        <v>53</v>
      </c>
      <c r="F421" s="13" t="s">
        <v>74</v>
      </c>
      <c r="G421" s="27">
        <v>2</v>
      </c>
      <c r="H421" s="27">
        <v>2</v>
      </c>
      <c r="I421" s="27">
        <f t="shared" si="23"/>
        <v>0</v>
      </c>
      <c r="J421" s="26" t="s">
        <v>207</v>
      </c>
    </row>
    <row r="422" spans="1:10" ht="15" customHeight="1" x14ac:dyDescent="0.2">
      <c r="A422" s="18"/>
      <c r="B422" s="20"/>
      <c r="C422" s="20"/>
      <c r="D422" s="20"/>
      <c r="E422" s="20" t="s">
        <v>16</v>
      </c>
      <c r="F422" s="20"/>
      <c r="G422" s="23">
        <f>SUM(G403:G421)</f>
        <v>37.5</v>
      </c>
      <c r="H422" s="23">
        <f>SUM(H403:H421)</f>
        <v>38</v>
      </c>
      <c r="I422" s="23">
        <f t="shared" si="23"/>
        <v>0.5</v>
      </c>
      <c r="J422" s="20"/>
    </row>
    <row r="423" spans="1:10" ht="15" customHeight="1" x14ac:dyDescent="0.2">
      <c r="A423" s="72" t="s">
        <v>79</v>
      </c>
      <c r="B423" s="56"/>
      <c r="C423" s="56"/>
      <c r="D423" s="56"/>
      <c r="E423" s="56"/>
      <c r="F423" s="56"/>
      <c r="G423" s="56"/>
      <c r="H423" s="56"/>
      <c r="I423" s="56"/>
      <c r="J423" s="57"/>
    </row>
    <row r="424" spans="1:10" ht="15" customHeight="1" x14ac:dyDescent="0.2">
      <c r="A424" s="31" t="s">
        <v>11</v>
      </c>
      <c r="B424" s="66" t="s">
        <v>12</v>
      </c>
      <c r="C424" s="56"/>
      <c r="D424" s="56"/>
      <c r="E424" s="56"/>
      <c r="F424" s="56"/>
      <c r="G424" s="56"/>
      <c r="H424" s="56"/>
      <c r="I424" s="56"/>
      <c r="J424" s="57"/>
    </row>
    <row r="425" spans="1:10" ht="15" customHeight="1" x14ac:dyDescent="0.2">
      <c r="A425" s="32" t="s">
        <v>13</v>
      </c>
      <c r="B425" s="66" t="s">
        <v>14</v>
      </c>
      <c r="C425" s="56"/>
      <c r="D425" s="56"/>
      <c r="E425" s="56"/>
      <c r="F425" s="56"/>
      <c r="G425" s="56"/>
      <c r="H425" s="56"/>
      <c r="I425" s="56"/>
      <c r="J425" s="57"/>
    </row>
    <row r="426" spans="1:10" ht="15" customHeight="1" x14ac:dyDescent="0.2">
      <c r="A426" s="30">
        <v>46034</v>
      </c>
      <c r="B426" s="26" t="s">
        <v>50</v>
      </c>
      <c r="C426" s="12" t="s">
        <v>15</v>
      </c>
      <c r="D426" s="26" t="s">
        <v>194</v>
      </c>
      <c r="E426" s="13" t="s">
        <v>56</v>
      </c>
      <c r="F426" s="13" t="s">
        <v>344</v>
      </c>
      <c r="G426" s="27">
        <v>4</v>
      </c>
      <c r="H426" s="27">
        <v>4</v>
      </c>
      <c r="I426" s="27">
        <f t="shared" ref="I426:I448" si="24">H426-G426</f>
        <v>0</v>
      </c>
      <c r="J426" s="81" t="s">
        <v>197</v>
      </c>
    </row>
    <row r="427" spans="1:10" ht="15" customHeight="1" x14ac:dyDescent="0.2">
      <c r="A427" s="30">
        <v>46034</v>
      </c>
      <c r="B427" s="26" t="s">
        <v>50</v>
      </c>
      <c r="C427" s="12" t="s">
        <v>15</v>
      </c>
      <c r="D427" s="26" t="s">
        <v>85</v>
      </c>
      <c r="E427" s="13" t="s">
        <v>61</v>
      </c>
      <c r="F427" s="13" t="s">
        <v>41</v>
      </c>
      <c r="G427" s="27">
        <v>1</v>
      </c>
      <c r="H427" s="27">
        <v>1</v>
      </c>
      <c r="I427" s="27">
        <f t="shared" si="24"/>
        <v>0</v>
      </c>
      <c r="J427" s="26"/>
    </row>
    <row r="428" spans="1:10" ht="15" customHeight="1" x14ac:dyDescent="0.2">
      <c r="A428" s="30">
        <v>46034</v>
      </c>
      <c r="B428" s="26" t="s">
        <v>50</v>
      </c>
      <c r="C428" s="12" t="s">
        <v>15</v>
      </c>
      <c r="D428" s="26" t="s">
        <v>194</v>
      </c>
      <c r="E428" s="13" t="s">
        <v>56</v>
      </c>
      <c r="F428" s="13" t="s">
        <v>344</v>
      </c>
      <c r="G428" s="27">
        <v>3</v>
      </c>
      <c r="H428" s="27">
        <v>3</v>
      </c>
      <c r="I428" s="27">
        <f t="shared" si="24"/>
        <v>0</v>
      </c>
      <c r="J428" s="81" t="s">
        <v>208</v>
      </c>
    </row>
    <row r="429" spans="1:10" ht="15" customHeight="1" x14ac:dyDescent="0.2">
      <c r="A429" s="30">
        <v>46034</v>
      </c>
      <c r="B429" s="26" t="s">
        <v>50</v>
      </c>
      <c r="C429" s="12" t="s">
        <v>15</v>
      </c>
      <c r="D429" s="26" t="s">
        <v>209</v>
      </c>
      <c r="E429" s="13" t="s">
        <v>56</v>
      </c>
      <c r="F429" s="13" t="s">
        <v>341</v>
      </c>
      <c r="G429" s="27">
        <v>1</v>
      </c>
      <c r="H429" s="27">
        <v>1</v>
      </c>
      <c r="I429" s="27">
        <f t="shared" si="24"/>
        <v>0</v>
      </c>
      <c r="J429" s="26"/>
    </row>
    <row r="430" spans="1:10" ht="15" customHeight="1" x14ac:dyDescent="0.2">
      <c r="A430" s="30">
        <v>46035</v>
      </c>
      <c r="B430" s="26" t="s">
        <v>50</v>
      </c>
      <c r="C430" s="12" t="s">
        <v>15</v>
      </c>
      <c r="D430" s="26" t="s">
        <v>165</v>
      </c>
      <c r="E430" s="13" t="s">
        <v>45</v>
      </c>
      <c r="F430" s="13" t="s">
        <v>340</v>
      </c>
      <c r="G430" s="27">
        <v>0.5</v>
      </c>
      <c r="H430" s="27">
        <v>0.5</v>
      </c>
      <c r="I430" s="27">
        <f t="shared" si="24"/>
        <v>0</v>
      </c>
      <c r="J430" s="81" t="s">
        <v>351</v>
      </c>
    </row>
    <row r="431" spans="1:10" ht="15" customHeight="1" x14ac:dyDescent="0.2">
      <c r="A431" s="30">
        <v>46035</v>
      </c>
      <c r="B431" s="26" t="s">
        <v>50</v>
      </c>
      <c r="C431" s="12" t="s">
        <v>15</v>
      </c>
      <c r="D431" s="26" t="s">
        <v>210</v>
      </c>
      <c r="E431" s="13" t="s">
        <v>45</v>
      </c>
      <c r="F431" s="13" t="s">
        <v>340</v>
      </c>
      <c r="G431" s="27">
        <v>1.5</v>
      </c>
      <c r="H431" s="27">
        <v>1.5</v>
      </c>
      <c r="I431" s="27">
        <f t="shared" si="24"/>
        <v>0</v>
      </c>
      <c r="J431" s="26" t="s">
        <v>211</v>
      </c>
    </row>
    <row r="432" spans="1:10" ht="15" customHeight="1" x14ac:dyDescent="0.2">
      <c r="A432" s="30">
        <v>46035</v>
      </c>
      <c r="B432" s="26" t="s">
        <v>50</v>
      </c>
      <c r="C432" s="12" t="s">
        <v>15</v>
      </c>
      <c r="D432" s="26" t="s">
        <v>323</v>
      </c>
      <c r="E432" s="13" t="s">
        <v>53</v>
      </c>
      <c r="F432" s="13" t="s">
        <v>75</v>
      </c>
      <c r="G432" s="27">
        <v>3</v>
      </c>
      <c r="H432" s="27">
        <v>2.5</v>
      </c>
      <c r="I432" s="27">
        <f t="shared" si="24"/>
        <v>-0.5</v>
      </c>
      <c r="J432" s="26" t="s">
        <v>327</v>
      </c>
    </row>
    <row r="433" spans="1:10" ht="15" customHeight="1" x14ac:dyDescent="0.2">
      <c r="A433" s="30">
        <v>46035</v>
      </c>
      <c r="B433" s="26" t="s">
        <v>50</v>
      </c>
      <c r="C433" s="12" t="s">
        <v>15</v>
      </c>
      <c r="D433" s="26" t="s">
        <v>85</v>
      </c>
      <c r="E433" s="13" t="s">
        <v>61</v>
      </c>
      <c r="F433" s="13" t="s">
        <v>41</v>
      </c>
      <c r="G433" s="27">
        <v>1</v>
      </c>
      <c r="H433" s="27">
        <v>1</v>
      </c>
      <c r="I433" s="27">
        <f t="shared" si="24"/>
        <v>0</v>
      </c>
      <c r="J433" s="26"/>
    </row>
    <row r="434" spans="1:10" ht="15" customHeight="1" x14ac:dyDescent="0.2">
      <c r="A434" s="30">
        <v>46035</v>
      </c>
      <c r="B434" s="26" t="s">
        <v>50</v>
      </c>
      <c r="C434" s="12" t="s">
        <v>15</v>
      </c>
      <c r="D434" s="26" t="s">
        <v>323</v>
      </c>
      <c r="E434" s="13" t="s">
        <v>53</v>
      </c>
      <c r="F434" s="13" t="s">
        <v>75</v>
      </c>
      <c r="G434" s="27">
        <v>2</v>
      </c>
      <c r="H434" s="27">
        <v>2</v>
      </c>
      <c r="I434" s="27">
        <f t="shared" si="24"/>
        <v>0</v>
      </c>
      <c r="J434" s="26" t="s">
        <v>327</v>
      </c>
    </row>
    <row r="435" spans="1:10" s="53" customFormat="1" ht="15" customHeight="1" x14ac:dyDescent="0.2">
      <c r="A435" s="30">
        <v>46035</v>
      </c>
      <c r="B435" s="26" t="s">
        <v>50</v>
      </c>
      <c r="C435" s="12" t="s">
        <v>15</v>
      </c>
      <c r="D435" s="26" t="s">
        <v>194</v>
      </c>
      <c r="E435" s="13" t="s">
        <v>56</v>
      </c>
      <c r="F435" s="13" t="s">
        <v>74</v>
      </c>
      <c r="G435" s="27">
        <v>2</v>
      </c>
      <c r="H435" s="27">
        <v>2</v>
      </c>
      <c r="I435" s="27">
        <f t="shared" si="24"/>
        <v>0</v>
      </c>
      <c r="J435" s="81" t="s">
        <v>324</v>
      </c>
    </row>
    <row r="436" spans="1:10" s="53" customFormat="1" ht="15" customHeight="1" x14ac:dyDescent="0.2">
      <c r="A436" s="30">
        <v>46036</v>
      </c>
      <c r="B436" s="26" t="s">
        <v>50</v>
      </c>
      <c r="C436" s="12" t="s">
        <v>15</v>
      </c>
      <c r="D436" s="26" t="s">
        <v>194</v>
      </c>
      <c r="E436" s="13" t="s">
        <v>56</v>
      </c>
      <c r="F436" s="13" t="s">
        <v>74</v>
      </c>
      <c r="G436" s="27">
        <v>3</v>
      </c>
      <c r="H436" s="27">
        <v>3</v>
      </c>
      <c r="I436" s="27">
        <f t="shared" si="24"/>
        <v>0</v>
      </c>
      <c r="J436" s="81" t="s">
        <v>324</v>
      </c>
    </row>
    <row r="437" spans="1:10" s="53" customFormat="1" ht="15" customHeight="1" x14ac:dyDescent="0.2">
      <c r="A437" s="30">
        <v>46036</v>
      </c>
      <c r="B437" s="26" t="s">
        <v>50</v>
      </c>
      <c r="C437" s="12" t="s">
        <v>15</v>
      </c>
      <c r="D437" s="26" t="s">
        <v>85</v>
      </c>
      <c r="E437" s="13" t="s">
        <v>61</v>
      </c>
      <c r="F437" s="13" t="s">
        <v>41</v>
      </c>
      <c r="G437" s="27">
        <v>1</v>
      </c>
      <c r="H437" s="27">
        <v>1</v>
      </c>
      <c r="I437" s="27">
        <f t="shared" si="24"/>
        <v>0</v>
      </c>
      <c r="J437" s="26"/>
    </row>
    <row r="438" spans="1:10" s="53" customFormat="1" ht="15" customHeight="1" x14ac:dyDescent="0.2">
      <c r="A438" s="30">
        <v>46036</v>
      </c>
      <c r="B438" s="26" t="s">
        <v>50</v>
      </c>
      <c r="C438" s="12" t="s">
        <v>15</v>
      </c>
      <c r="D438" s="26" t="s">
        <v>325</v>
      </c>
      <c r="E438" s="13" t="s">
        <v>53</v>
      </c>
      <c r="F438" s="13" t="s">
        <v>75</v>
      </c>
      <c r="G438" s="27">
        <v>4</v>
      </c>
      <c r="H438" s="27">
        <v>3</v>
      </c>
      <c r="I438" s="27">
        <f t="shared" si="24"/>
        <v>-1</v>
      </c>
      <c r="J438" s="26" t="s">
        <v>326</v>
      </c>
    </row>
    <row r="439" spans="1:10" s="53" customFormat="1" ht="15" customHeight="1" x14ac:dyDescent="0.2">
      <c r="A439" s="30">
        <v>46037</v>
      </c>
      <c r="B439" s="26" t="s">
        <v>50</v>
      </c>
      <c r="C439" s="12" t="s">
        <v>15</v>
      </c>
      <c r="D439" s="26" t="s">
        <v>194</v>
      </c>
      <c r="E439" s="13" t="s">
        <v>56</v>
      </c>
      <c r="F439" s="13" t="s">
        <v>75</v>
      </c>
      <c r="G439" s="27">
        <v>3</v>
      </c>
      <c r="H439" s="27">
        <v>3</v>
      </c>
      <c r="I439" s="27">
        <f t="shared" si="24"/>
        <v>0</v>
      </c>
      <c r="J439" s="81" t="s">
        <v>328</v>
      </c>
    </row>
    <row r="440" spans="1:10" s="53" customFormat="1" ht="15" customHeight="1" x14ac:dyDescent="0.2">
      <c r="A440" s="30">
        <v>46037</v>
      </c>
      <c r="B440" s="26" t="s">
        <v>50</v>
      </c>
      <c r="C440" s="12" t="s">
        <v>15</v>
      </c>
      <c r="D440" s="26" t="s">
        <v>85</v>
      </c>
      <c r="E440" s="13" t="s">
        <v>61</v>
      </c>
      <c r="F440" s="13" t="s">
        <v>41</v>
      </c>
      <c r="G440" s="27">
        <v>1</v>
      </c>
      <c r="H440" s="27">
        <v>1</v>
      </c>
      <c r="I440" s="27">
        <f t="shared" si="24"/>
        <v>0</v>
      </c>
      <c r="J440" s="26"/>
    </row>
    <row r="441" spans="1:10" s="53" customFormat="1" ht="15" customHeight="1" x14ac:dyDescent="0.2">
      <c r="A441" s="30">
        <v>46037</v>
      </c>
      <c r="B441" s="26" t="s">
        <v>50</v>
      </c>
      <c r="C441" s="12" t="s">
        <v>15</v>
      </c>
      <c r="D441" s="26" t="s">
        <v>325</v>
      </c>
      <c r="E441" s="13" t="s">
        <v>53</v>
      </c>
      <c r="F441" s="13" t="s">
        <v>75</v>
      </c>
      <c r="G441" s="27">
        <v>3</v>
      </c>
      <c r="H441" s="27">
        <v>3</v>
      </c>
      <c r="I441" s="27">
        <f t="shared" si="24"/>
        <v>0</v>
      </c>
      <c r="J441" s="26" t="s">
        <v>326</v>
      </c>
    </row>
    <row r="442" spans="1:10" s="53" customFormat="1" ht="15" customHeight="1" x14ac:dyDescent="0.2">
      <c r="A442" s="30">
        <v>46038</v>
      </c>
      <c r="B442" s="26" t="s">
        <v>50</v>
      </c>
      <c r="C442" s="12" t="s">
        <v>15</v>
      </c>
      <c r="D442" s="26" t="s">
        <v>329</v>
      </c>
      <c r="E442" s="13" t="s">
        <v>51</v>
      </c>
      <c r="F442" s="13" t="s">
        <v>75</v>
      </c>
      <c r="G442" s="27">
        <v>3</v>
      </c>
      <c r="H442" s="27">
        <v>3</v>
      </c>
      <c r="I442" s="27">
        <v>0</v>
      </c>
      <c r="J442" s="26" t="s">
        <v>330</v>
      </c>
    </row>
    <row r="443" spans="1:10" s="53" customFormat="1" ht="15" customHeight="1" x14ac:dyDescent="0.2">
      <c r="A443" s="30">
        <v>46038</v>
      </c>
      <c r="B443" s="26" t="s">
        <v>50</v>
      </c>
      <c r="C443" s="12" t="s">
        <v>15</v>
      </c>
      <c r="D443" s="26" t="s">
        <v>331</v>
      </c>
      <c r="E443" s="13" t="s">
        <v>45</v>
      </c>
      <c r="F443" s="13" t="s">
        <v>340</v>
      </c>
      <c r="G443" s="27">
        <v>0.5</v>
      </c>
      <c r="H443" s="27">
        <v>0.5</v>
      </c>
      <c r="I443" s="27">
        <v>0</v>
      </c>
      <c r="J443" s="26" t="s">
        <v>332</v>
      </c>
    </row>
    <row r="444" spans="1:10" s="53" customFormat="1" ht="15" customHeight="1" x14ac:dyDescent="0.2">
      <c r="A444" s="30">
        <v>46038</v>
      </c>
      <c r="B444" s="26" t="s">
        <v>50</v>
      </c>
      <c r="C444" s="12" t="s">
        <v>15</v>
      </c>
      <c r="D444" s="26" t="s">
        <v>85</v>
      </c>
      <c r="E444" s="13" t="s">
        <v>61</v>
      </c>
      <c r="F444" s="13" t="s">
        <v>41</v>
      </c>
      <c r="G444" s="27">
        <v>1</v>
      </c>
      <c r="H444" s="27">
        <v>1</v>
      </c>
      <c r="I444" s="27">
        <v>0</v>
      </c>
      <c r="J444" s="26"/>
    </row>
    <row r="445" spans="1:10" s="53" customFormat="1" ht="15" customHeight="1" x14ac:dyDescent="0.2">
      <c r="A445" s="30">
        <v>46038</v>
      </c>
      <c r="B445" s="26" t="s">
        <v>50</v>
      </c>
      <c r="C445" s="12" t="s">
        <v>15</v>
      </c>
      <c r="D445" s="26" t="s">
        <v>333</v>
      </c>
      <c r="E445" s="13" t="s">
        <v>45</v>
      </c>
      <c r="F445" s="13" t="s">
        <v>75</v>
      </c>
      <c r="G445" s="27">
        <v>1</v>
      </c>
      <c r="H445" s="27">
        <v>1</v>
      </c>
      <c r="I445" s="27">
        <v>0</v>
      </c>
      <c r="J445" s="26" t="s">
        <v>334</v>
      </c>
    </row>
    <row r="446" spans="1:10" s="53" customFormat="1" ht="15" customHeight="1" x14ac:dyDescent="0.2">
      <c r="A446" s="30">
        <v>46038</v>
      </c>
      <c r="B446" s="26" t="s">
        <v>50</v>
      </c>
      <c r="C446" s="12" t="s">
        <v>15</v>
      </c>
      <c r="D446" s="26" t="s">
        <v>335</v>
      </c>
      <c r="E446" s="13" t="s">
        <v>53</v>
      </c>
      <c r="F446" s="13" t="s">
        <v>75</v>
      </c>
      <c r="G446" s="27">
        <v>1</v>
      </c>
      <c r="H446" s="27">
        <v>1</v>
      </c>
      <c r="I446" s="27">
        <v>0</v>
      </c>
      <c r="J446" s="26" t="s">
        <v>336</v>
      </c>
    </row>
    <row r="447" spans="1:10" s="54" customFormat="1" ht="15" customHeight="1" x14ac:dyDescent="0.2">
      <c r="A447" s="30">
        <v>46038</v>
      </c>
      <c r="B447" s="26" t="s">
        <v>50</v>
      </c>
      <c r="C447" s="12" t="s">
        <v>15</v>
      </c>
      <c r="D447" s="26" t="s">
        <v>194</v>
      </c>
      <c r="E447" s="13" t="s">
        <v>53</v>
      </c>
      <c r="F447" s="13" t="s">
        <v>345</v>
      </c>
      <c r="G447" s="27">
        <v>2</v>
      </c>
      <c r="H447" s="27">
        <v>3</v>
      </c>
      <c r="I447" s="27">
        <v>1</v>
      </c>
      <c r="J447" s="81" t="s">
        <v>348</v>
      </c>
    </row>
    <row r="448" spans="1:10" ht="15" customHeight="1" x14ac:dyDescent="0.2">
      <c r="A448" s="30">
        <v>46038</v>
      </c>
      <c r="B448" s="26" t="s">
        <v>50</v>
      </c>
      <c r="C448" s="12" t="s">
        <v>15</v>
      </c>
      <c r="D448" s="26" t="s">
        <v>194</v>
      </c>
      <c r="E448" s="13" t="s">
        <v>56</v>
      </c>
      <c r="F448" s="13" t="s">
        <v>347</v>
      </c>
      <c r="G448" s="27">
        <v>2</v>
      </c>
      <c r="H448" s="27">
        <v>2.5</v>
      </c>
      <c r="I448" s="27">
        <f t="shared" si="24"/>
        <v>0.5</v>
      </c>
      <c r="J448" s="81" t="s">
        <v>337</v>
      </c>
    </row>
    <row r="449" spans="1:10" ht="15" customHeight="1" x14ac:dyDescent="0.2">
      <c r="A449" s="18"/>
      <c r="B449" s="20"/>
      <c r="C449" s="20"/>
      <c r="D449" s="20"/>
      <c r="E449" s="20" t="s">
        <v>16</v>
      </c>
      <c r="F449" s="20"/>
      <c r="G449" s="23">
        <f>SUM(G426:G448)</f>
        <v>44.5</v>
      </c>
      <c r="H449" s="23">
        <f>SUM(H426:H448)</f>
        <v>44.5</v>
      </c>
      <c r="I449" s="23">
        <f t="shared" ref="I449" si="25">H449-G449</f>
        <v>0</v>
      </c>
      <c r="J449" s="20"/>
    </row>
    <row r="451" spans="1:10" ht="15" customHeight="1" x14ac:dyDescent="0.2">
      <c r="E451" s="41" t="s">
        <v>25</v>
      </c>
      <c r="F451" s="41"/>
      <c r="G451" s="42">
        <f>G27+G53+G78+G105+G128+G151+G173+G194+G216+G242+G264+G286+G307+G328+G349+G370+G385+G399+G422+G449</f>
        <v>788.5</v>
      </c>
      <c r="H451" s="42">
        <f>H27+H53+H78+H105+H128+H151+H173+H194+H216+H242+H264+H286+H307+H328+H349+H449+H385+H399+H422+H370</f>
        <v>787</v>
      </c>
      <c r="I451" s="42">
        <f>I27+I53+I78+I105+I128+I151+I173+I194+I216+I242+I264+I286+I307+I328+I349+I449+I385+I399+I422+I370</f>
        <v>-1.5</v>
      </c>
    </row>
  </sheetData>
  <autoFilter ref="A1:J27"/>
  <customSheetViews>
    <customSheetView guid="{8BAC9A6B-5D32-4E8D-967D-E17D357516F8}" filter="1" showAutoFilter="1">
      <pageMargins left="0" right="0" top="0" bottom="0" header="0" footer="0"/>
      <autoFilter ref="A1:K15">
        <filterColumn colId="1">
          <filters blank="1">
            <filter val="- Weekplan item 1_x000a_- Weekplan item 2_x000a_- Weekplan item 3_x000a_- etc"/>
            <filter val="[Enter known possible issues that are a risk for you to finish the high level week planning]"/>
          </filters>
        </filterColumn>
      </autoFilter>
    </customSheetView>
  </customSheetViews>
  <mergeCells count="60">
    <mergeCell ref="B424:J424"/>
    <mergeCell ref="B425:J425"/>
    <mergeCell ref="B388:J388"/>
    <mergeCell ref="A400:J400"/>
    <mergeCell ref="B401:J401"/>
    <mergeCell ref="B402:J402"/>
    <mergeCell ref="A423:J423"/>
    <mergeCell ref="A371:J371"/>
    <mergeCell ref="B372:J372"/>
    <mergeCell ref="B373:J373"/>
    <mergeCell ref="A386:J386"/>
    <mergeCell ref="B387:J387"/>
    <mergeCell ref="A2:J2"/>
    <mergeCell ref="B3:J3"/>
    <mergeCell ref="B4:J4"/>
    <mergeCell ref="A28:J28"/>
    <mergeCell ref="B29:J29"/>
    <mergeCell ref="B30:J30"/>
    <mergeCell ref="A54:J54"/>
    <mergeCell ref="B55:J55"/>
    <mergeCell ref="B56:J56"/>
    <mergeCell ref="A79:J79"/>
    <mergeCell ref="B80:J80"/>
    <mergeCell ref="B81:J81"/>
    <mergeCell ref="A106:J106"/>
    <mergeCell ref="B107:J107"/>
    <mergeCell ref="A174:J174"/>
    <mergeCell ref="B175:J175"/>
    <mergeCell ref="B176:J176"/>
    <mergeCell ref="B108:J108"/>
    <mergeCell ref="A129:J129"/>
    <mergeCell ref="B130:J130"/>
    <mergeCell ref="B131:J131"/>
    <mergeCell ref="A152:J152"/>
    <mergeCell ref="B153:J153"/>
    <mergeCell ref="B154:J154"/>
    <mergeCell ref="A195:J195"/>
    <mergeCell ref="B196:J196"/>
    <mergeCell ref="B197:J197"/>
    <mergeCell ref="A217:J217"/>
    <mergeCell ref="B218:J218"/>
    <mergeCell ref="B219:J219"/>
    <mergeCell ref="A243:J243"/>
    <mergeCell ref="B244:J244"/>
    <mergeCell ref="B245:J245"/>
    <mergeCell ref="A265:J265"/>
    <mergeCell ref="B266:J266"/>
    <mergeCell ref="B267:J267"/>
    <mergeCell ref="A287:J287"/>
    <mergeCell ref="B288:J288"/>
    <mergeCell ref="B289:J289"/>
    <mergeCell ref="B331:J331"/>
    <mergeCell ref="A350:J350"/>
    <mergeCell ref="B351:J351"/>
    <mergeCell ref="B352:J352"/>
    <mergeCell ref="A308:J308"/>
    <mergeCell ref="B309:J309"/>
    <mergeCell ref="B310:J310"/>
    <mergeCell ref="A329:J329"/>
    <mergeCell ref="B330:J330"/>
  </mergeCells>
  <conditionalFormatting sqref="B5:B26 B29:B52 B82:B104 B155:B172 B374:B384 B387:B398 B403:B408 B57:B77 B353:B369 B410:B421 B426:B448 B109:B127 B132:B150 B177:B193 B311:B327">
    <cfRule type="containsText" dxfId="31" priority="35" operator="containsText" text="Unplanned">
      <formula>NOT(ISERROR(SEARCH(("Unplanned"),(B5))))</formula>
    </cfRule>
    <cfRule type="containsText" dxfId="30" priority="36" operator="containsText" text="Planned">
      <formula>NOT(ISERROR(SEARCH(("Planned"),(B5))))</formula>
    </cfRule>
    <cfRule type="containsText" dxfId="29" priority="37" operator="containsText" text="In-Progress">
      <formula>NOT(ISERROR(SEARCH(("In-Progress"),(B5))))</formula>
    </cfRule>
    <cfRule type="containsText" dxfId="28" priority="38" operator="containsText" text="Blocked">
      <formula>NOT(ISERROR(SEARCH(("Blocked"),(B5))))</formula>
    </cfRule>
    <cfRule type="containsText" dxfId="27" priority="39" operator="containsText" text="Done">
      <formula>NOT(ISERROR(SEARCH(("Done"),(B5))))</formula>
    </cfRule>
  </conditionalFormatting>
  <conditionalFormatting sqref="B29:B53 B80:B105 B153:B173 B374:B385 B387:B399 B401:B408 B5:B27 B55:B78 B351:B369 B410:B422 B424:B448 B107:B128 B130:B151 B175:B193 B198:B216 B309:B328">
    <cfRule type="containsText" dxfId="26" priority="40" operator="containsText" text="Unplanned">
      <formula>NOT(ISERROR(SEARCH(("Unplanned"),(B5))))</formula>
    </cfRule>
    <cfRule type="containsText" dxfId="25" priority="41" operator="containsText" text="Cancelled">
      <formula>NOT(ISERROR(SEARCH(("Cancelled"),(B5))))</formula>
    </cfRule>
  </conditionalFormatting>
  <conditionalFormatting sqref="B198:B215 B218:B241 B246:B263 B268:B285 B332:B348 B290:B306">
    <cfRule type="containsText" dxfId="24" priority="25" operator="containsText" text="Unplanned">
      <formula>NOT(ISERROR(SEARCH(("Unplanned"),(B198))))</formula>
    </cfRule>
    <cfRule type="containsText" dxfId="23" priority="26" operator="containsText" text="Planned">
      <formula>NOT(ISERROR(SEARCH(("Planned"),(B198))))</formula>
    </cfRule>
    <cfRule type="containsText" dxfId="22" priority="27" operator="containsText" text="In-Progress">
      <formula>NOT(ISERROR(SEARCH(("In-Progress"),(B198))))</formula>
    </cfRule>
    <cfRule type="containsText" dxfId="21" priority="28" operator="containsText" text="Blocked">
      <formula>NOT(ISERROR(SEARCH(("Blocked"),(B198))))</formula>
    </cfRule>
    <cfRule type="containsText" dxfId="20" priority="29" operator="containsText" text="Done">
      <formula>NOT(ISERROR(SEARCH(("Done"),(B198))))</formula>
    </cfRule>
  </conditionalFormatting>
  <conditionalFormatting sqref="B218:B242 B244:B264 B266:B286 B330:B349 B288:B307">
    <cfRule type="containsText" dxfId="19" priority="30" operator="containsText" text="Unplanned">
      <formula>NOT(ISERROR(SEARCH(("Unplanned"),(B218))))</formula>
    </cfRule>
    <cfRule type="containsText" dxfId="18" priority="31" operator="containsText" text="Cancelled">
      <formula>NOT(ISERROR(SEARCH(("Cancelled"),(B218))))</formula>
    </cfRule>
  </conditionalFormatting>
  <conditionalFormatting sqref="B449">
    <cfRule type="containsText" dxfId="17" priority="10" operator="containsText" text="Unplanned">
      <formula>NOT(ISERROR(SEARCH(("Unplanned"),(B449))))</formula>
    </cfRule>
    <cfRule type="containsText" dxfId="16" priority="11" operator="containsText" text="Cancelled">
      <formula>NOT(ISERROR(SEARCH(("Cancelled"),(B449))))</formula>
    </cfRule>
  </conditionalFormatting>
  <conditionalFormatting sqref="G1 G31:G53 G57:G78 G82:G105 G109:G128 G155:G173 G177:G194 G372:G385 G389:G399 G403:G422 G426:G449 G353:G370 G451:I451 G3:G27 G132:G151 G196:G216 G311:G328">
    <cfRule type="cellIs" dxfId="15" priority="44" operator="greaterThan">
      <formula>4</formula>
    </cfRule>
  </conditionalFormatting>
  <conditionalFormatting sqref="G220:G242 G246:G264 G268:G286 G290:G307 G332:G349">
    <cfRule type="cellIs" dxfId="14" priority="34" operator="greaterThan">
      <formula>4</formula>
    </cfRule>
  </conditionalFormatting>
  <conditionalFormatting sqref="H1:H449">
    <cfRule type="containsBlanks" dxfId="13" priority="45">
      <formula>LEN(TRIM(H1))=0</formula>
    </cfRule>
  </conditionalFormatting>
  <conditionalFormatting sqref="I31:I53 I57:I78 I82:I105 I109:I128 I155:I173 I374:I385 I389:I399 I403:I422 I426:I449 I353:I370 I5:I27 I132:I151 I198:I216 I311:I328 I177:I194">
    <cfRule type="expression" dxfId="12" priority="42">
      <formula>H5/G5&gt;=1.5</formula>
    </cfRule>
    <cfRule type="expression" dxfId="11" priority="43">
      <formula>H5/G5&lt;=0.5</formula>
    </cfRule>
  </conditionalFormatting>
  <conditionalFormatting sqref="I220:I242 I246:I264 I268:I286 I290:I307 I332:I349">
    <cfRule type="expression" dxfId="10" priority="32">
      <formula>H220/G220&gt;=1.5</formula>
    </cfRule>
    <cfRule type="expression" dxfId="9" priority="33">
      <formula>H220/G220&lt;=0.5</formula>
    </cfRule>
  </conditionalFormatting>
  <conditionalFormatting sqref="B370">
    <cfRule type="containsText" dxfId="8" priority="8" operator="containsText" text="Unplanned">
      <formula>NOT(ISERROR(SEARCH(("Unplanned"),(B370))))</formula>
    </cfRule>
    <cfRule type="containsText" dxfId="7" priority="9" operator="containsText" text="Cancelled">
      <formula>NOT(ISERROR(SEARCH(("Cancelled"),(B370))))</formula>
    </cfRule>
  </conditionalFormatting>
  <conditionalFormatting sqref="B409">
    <cfRule type="containsText" dxfId="6" priority="1" operator="containsText" text="Unplanned">
      <formula>NOT(ISERROR(SEARCH(("Unplanned"),(B409))))</formula>
    </cfRule>
    <cfRule type="containsText" dxfId="5" priority="2" operator="containsText" text="Planned">
      <formula>NOT(ISERROR(SEARCH(("Planned"),(B409))))</formula>
    </cfRule>
    <cfRule type="containsText" dxfId="4" priority="3" operator="containsText" text="In-Progress">
      <formula>NOT(ISERROR(SEARCH(("In-Progress"),(B409))))</formula>
    </cfRule>
    <cfRule type="containsText" dxfId="3" priority="4" operator="containsText" text="Blocked">
      <formula>NOT(ISERROR(SEARCH(("Blocked"),(B409))))</formula>
    </cfRule>
    <cfRule type="containsText" dxfId="2" priority="5" operator="containsText" text="Done">
      <formula>NOT(ISERROR(SEARCH(("Done"),(B409))))</formula>
    </cfRule>
  </conditionalFormatting>
  <conditionalFormatting sqref="B409">
    <cfRule type="containsText" dxfId="1" priority="6" operator="containsText" text="Unplanned">
      <formula>NOT(ISERROR(SEARCH(("Unplanned"),(B409))))</formula>
    </cfRule>
    <cfRule type="containsText" dxfId="0" priority="7" operator="containsText" text="Cancelled">
      <formula>NOT(ISERROR(SEARCH(("Cancelled"),(B409))))</formula>
    </cfRule>
  </conditionalFormatting>
  <hyperlinks>
    <hyperlink ref="J241" r:id="rId1"/>
    <hyperlink ref="J411" r:id="rId2"/>
    <hyperlink ref="J416" r:id="rId3"/>
    <hyperlink ref="J249" r:id="rId4"/>
    <hyperlink ref="J430" r:id="rId5"/>
    <hyperlink ref="J426" r:id="rId6"/>
    <hyperlink ref="J428" r:id="rId7"/>
    <hyperlink ref="J435" r:id="rId8"/>
    <hyperlink ref="J439" r:id="rId9"/>
    <hyperlink ref="J447" r:id="rId10"/>
    <hyperlink ref="J448" r:id="rId11"/>
    <hyperlink ref="J85" r:id="rId12"/>
    <hyperlink ref="J436" r:id="rId13"/>
  </hyperlinks>
  <pageMargins left="0.7" right="0.7" top="0.75" bottom="0.75" header="0.3" footer="0.3"/>
  <pageSetup paperSize="9" scale="52" fitToHeight="0" orientation="landscape" horizontalDpi="300" verticalDpi="300" r:id="rId14"/>
  <extLst>
    <ext xmlns:x14="http://schemas.microsoft.com/office/spreadsheetml/2009/9/main" uri="{CCE6A557-97BC-4b89-ADB6-D9C93CAAB3DF}">
      <x14:dataValidations xmlns:xm="http://schemas.microsoft.com/office/excel/2006/main" count="3">
        <x14:dataValidation type="list" allowBlank="1">
          <x14:formula1>
            <xm:f>'Drop-downs'!$B$2:$B$16</xm:f>
          </x14:formula1>
          <xm:sqref>E5:E26 E31:E52 E57:E77 E82:E104 E109:E127 E155:E172 E177:E193 E198:E215 E220:E241 E246:E263 E268:E285 E290:E306 E332:E348 E426:E448 E374:E384 E389:E398 E403:E421 E353:E369 E132:E150 E311:E327</xm:sqref>
        </x14:dataValidation>
        <x14:dataValidation type="list" allowBlank="1">
          <x14:formula1>
            <xm:f>'Drop-downs'!$A$2:$A$9</xm:f>
          </x14:formula1>
          <xm:sqref>B5:B26 B31:B52 B57:B77 B82:B104 B426:B448 B155:B172 B132:B150 B198:B215 B220:B241 B246:B263 B268:B285 B177:B193 B332:B348 B403:B421 B374:B384 B389:B398 B353:B369 B109:B127 B290:B306 B311:B327</xm:sqref>
        </x14:dataValidation>
        <x14:dataValidation type="list" allowBlank="1">
          <x14:formula1>
            <xm:f>'Drop-downs'!$C$2:$C$10</xm:f>
          </x14:formula1>
          <xm:sqref>F5:F26 F31:F52 F57:F77 F311:F327 F109:F127 F155:F172 F177:F193 F132:F150 F220:F241 F246:F263 F268:F285 F290:F306 F332:F348 F426:F448 F374:F384 F389:F398 F403:F421 F353:F369 F198:F205 F207:F215 F82:F104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B2:K18"/>
  <sheetViews>
    <sheetView workbookViewId="0">
      <selection activeCell="D16" sqref="D16"/>
    </sheetView>
  </sheetViews>
  <sheetFormatPr defaultColWidth="14.42578125" defaultRowHeight="15" customHeight="1" x14ac:dyDescent="0.2"/>
  <cols>
    <col min="2" max="2" width="27" customWidth="1"/>
    <col min="11" max="11" width="20.42578125" customWidth="1"/>
  </cols>
  <sheetData>
    <row r="2" spans="2:11" ht="12.75" x14ac:dyDescent="0.2">
      <c r="B2" s="16" t="s">
        <v>26</v>
      </c>
      <c r="C2" s="2" t="s">
        <v>27</v>
      </c>
      <c r="D2" s="2" t="s">
        <v>28</v>
      </c>
      <c r="E2" s="2" t="s">
        <v>29</v>
      </c>
      <c r="F2" s="2" t="s">
        <v>30</v>
      </c>
      <c r="G2" s="2" t="s">
        <v>31</v>
      </c>
      <c r="H2" s="2" t="s">
        <v>32</v>
      </c>
      <c r="I2" s="2" t="s">
        <v>33</v>
      </c>
      <c r="J2" s="2" t="s">
        <v>34</v>
      </c>
      <c r="K2" s="4" t="s">
        <v>35</v>
      </c>
    </row>
    <row r="3" spans="2:11" ht="12.75" x14ac:dyDescent="0.2">
      <c r="B3" s="6" t="str">
        <f>'Drop-downs'!C2</f>
        <v>-</v>
      </c>
      <c r="C3" s="8"/>
      <c r="D3" s="8"/>
      <c r="E3" s="8"/>
      <c r="F3" s="8"/>
      <c r="G3" s="8"/>
      <c r="H3" s="8"/>
      <c r="I3" s="8"/>
      <c r="J3" s="8"/>
      <c r="K3" s="9">
        <f t="shared" ref="K3:K11" si="0">SUM(C3:J3)</f>
        <v>0</v>
      </c>
    </row>
    <row r="4" spans="2:11" ht="12.75" x14ac:dyDescent="0.2">
      <c r="B4" s="6" t="str">
        <f>'Drop-downs'!C3</f>
        <v>A1</v>
      </c>
      <c r="C4" s="14">
        <f ca="1">IFERROR(__xludf.DUMMYFUNCTION("IFERROR(SUM(FILTER('Worklog_Tasks&amp;Times'!$H$5:$H$14,'Worklog_Tasks&amp;Times'!$F$5:$F$14=$B4)),0)"),0)</f>
        <v>0</v>
      </c>
      <c r="D4" s="14"/>
      <c r="E4" s="14"/>
      <c r="F4" s="14"/>
      <c r="G4" s="14"/>
      <c r="H4" s="14"/>
      <c r="I4" s="14"/>
      <c r="J4" s="14"/>
      <c r="K4" s="9">
        <f t="shared" ca="1" si="0"/>
        <v>0</v>
      </c>
    </row>
    <row r="5" spans="2:11" ht="12.75" x14ac:dyDescent="0.2">
      <c r="B5" s="6" t="str">
        <f>'Drop-downs'!C4</f>
        <v>A2</v>
      </c>
      <c r="C5" s="14"/>
      <c r="D5" s="14"/>
      <c r="E5" s="14"/>
      <c r="F5" s="14"/>
      <c r="G5" s="14"/>
      <c r="H5" s="14"/>
      <c r="I5" s="14"/>
      <c r="J5" s="14"/>
      <c r="K5" s="9">
        <f t="shared" si="0"/>
        <v>0</v>
      </c>
    </row>
    <row r="6" spans="2:11" ht="12.75" x14ac:dyDescent="0.2">
      <c r="B6" s="6" t="str">
        <f>'Drop-downs'!C5</f>
        <v>A3</v>
      </c>
      <c r="C6" s="14"/>
      <c r="D6" s="14"/>
      <c r="E6" s="14"/>
      <c r="F6" s="14"/>
      <c r="G6" s="14"/>
      <c r="H6" s="14"/>
      <c r="I6" s="14"/>
      <c r="J6" s="14"/>
      <c r="K6" s="9">
        <f t="shared" si="0"/>
        <v>0</v>
      </c>
    </row>
    <row r="7" spans="2:11" ht="12.75" x14ac:dyDescent="0.2">
      <c r="B7" s="6" t="str">
        <f>'Drop-downs'!C6</f>
        <v>B4</v>
      </c>
      <c r="C7" s="14"/>
      <c r="D7" s="14"/>
      <c r="E7" s="14"/>
      <c r="F7" s="14"/>
      <c r="G7" s="14"/>
      <c r="H7" s="14"/>
      <c r="I7" s="14"/>
      <c r="J7" s="14"/>
      <c r="K7" s="9">
        <f t="shared" si="0"/>
        <v>0</v>
      </c>
    </row>
    <row r="8" spans="2:11" ht="12.75" x14ac:dyDescent="0.2">
      <c r="B8" s="6" t="str">
        <f>'Drop-downs'!C7</f>
        <v>B5</v>
      </c>
      <c r="C8" s="14"/>
      <c r="D8" s="14"/>
      <c r="E8" s="14"/>
      <c r="F8" s="14"/>
      <c r="G8" s="14"/>
      <c r="H8" s="14"/>
      <c r="I8" s="14"/>
      <c r="J8" s="14"/>
      <c r="K8" s="9">
        <f t="shared" ref="K8" si="1">SUM(C8:J8)</f>
        <v>0</v>
      </c>
    </row>
    <row r="9" spans="2:11" ht="12.75" x14ac:dyDescent="0.2">
      <c r="B9" s="6" t="str">
        <f>'Drop-downs'!C8</f>
        <v>B6</v>
      </c>
      <c r="C9" s="14"/>
      <c r="D9" s="14"/>
      <c r="E9" s="14"/>
      <c r="F9" s="14"/>
      <c r="G9" s="14"/>
      <c r="H9" s="14"/>
      <c r="I9" s="14"/>
      <c r="J9" s="14"/>
      <c r="K9" s="9">
        <f t="shared" si="0"/>
        <v>0</v>
      </c>
    </row>
    <row r="10" spans="2:11" ht="12.75" x14ac:dyDescent="0.2">
      <c r="B10" s="6" t="str">
        <f>'Drop-downs'!C9</f>
        <v>C7</v>
      </c>
      <c r="C10" s="14"/>
      <c r="D10" s="14"/>
      <c r="E10" s="14"/>
      <c r="F10" s="14"/>
      <c r="G10" s="14"/>
      <c r="H10" s="14"/>
      <c r="I10" s="14"/>
      <c r="J10" s="14"/>
      <c r="K10" s="9">
        <f t="shared" si="0"/>
        <v>0</v>
      </c>
    </row>
    <row r="11" spans="2:11" ht="12.75" x14ac:dyDescent="0.2">
      <c r="B11" s="6" t="str">
        <f>'Drop-downs'!C10</f>
        <v>C8</v>
      </c>
      <c r="C11" s="14"/>
      <c r="D11" s="14"/>
      <c r="E11" s="14"/>
      <c r="F11" s="14"/>
      <c r="G11" s="14"/>
      <c r="H11" s="14"/>
      <c r="I11" s="14"/>
      <c r="J11" s="14"/>
      <c r="K11" s="9">
        <f t="shared" si="0"/>
        <v>0</v>
      </c>
    </row>
    <row r="12" spans="2:11" ht="12.75" x14ac:dyDescent="0.2">
      <c r="B12" s="16" t="s">
        <v>36</v>
      </c>
      <c r="C12" s="17">
        <f ca="1">SUM(C3:C11)</f>
        <v>0</v>
      </c>
      <c r="D12" s="17">
        <f t="shared" ref="D12:J12" si="2">SUM(D3:D11)</f>
        <v>0</v>
      </c>
      <c r="E12" s="17">
        <f t="shared" si="2"/>
        <v>0</v>
      </c>
      <c r="F12" s="17">
        <f t="shared" si="2"/>
        <v>0</v>
      </c>
      <c r="G12" s="17">
        <f t="shared" si="2"/>
        <v>0</v>
      </c>
      <c r="H12" s="17">
        <f t="shared" si="2"/>
        <v>0</v>
      </c>
      <c r="I12" s="17">
        <f t="shared" si="2"/>
        <v>0</v>
      </c>
      <c r="J12" s="17">
        <f t="shared" si="2"/>
        <v>0</v>
      </c>
      <c r="K12" s="19"/>
    </row>
    <row r="13" spans="2:11" ht="12.75" x14ac:dyDescent="0.2">
      <c r="B13" s="21"/>
      <c r="C13" s="22"/>
      <c r="D13" s="22"/>
      <c r="E13" s="22"/>
      <c r="F13" s="22"/>
      <c r="G13" s="22"/>
      <c r="H13" s="22"/>
      <c r="I13" s="22"/>
      <c r="J13" s="22"/>
      <c r="K13" s="22"/>
    </row>
    <row r="14" spans="2:11" ht="15" customHeight="1" x14ac:dyDescent="0.2">
      <c r="B14" s="76" t="s">
        <v>37</v>
      </c>
      <c r="C14" s="77"/>
      <c r="D14" s="77"/>
      <c r="E14" s="77"/>
      <c r="F14" s="77"/>
      <c r="G14" s="77"/>
      <c r="H14" s="77"/>
      <c r="I14" s="77"/>
      <c r="J14" s="77"/>
      <c r="K14" s="77"/>
    </row>
    <row r="18" spans="2:7" ht="15" customHeight="1" x14ac:dyDescent="0.2">
      <c r="B18" s="78" t="s">
        <v>38</v>
      </c>
      <c r="C18" s="77"/>
      <c r="D18" s="77"/>
      <c r="E18" s="77"/>
      <c r="F18" s="77"/>
      <c r="G18" s="77"/>
    </row>
  </sheetData>
  <mergeCells count="2">
    <mergeCell ref="B14:K14"/>
    <mergeCell ref="B18:G18"/>
  </mergeCells>
  <conditionalFormatting sqref="C12:J12">
    <cfRule type="colorScale" priority="1">
      <colorScale>
        <cfvo type="formula" val="20"/>
        <cfvo type="formula" val="40"/>
        <color rgb="FFE67C73"/>
        <color rgb="FF57BB8A"/>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1000"/>
  <sheetViews>
    <sheetView workbookViewId="0">
      <selection activeCell="C13" sqref="C13"/>
    </sheetView>
  </sheetViews>
  <sheetFormatPr defaultColWidth="14.42578125" defaultRowHeight="15" customHeight="1" x14ac:dyDescent="0.2"/>
  <cols>
    <col min="1" max="6" width="14.42578125" customWidth="1"/>
  </cols>
  <sheetData>
    <row r="1" spans="1:3" ht="15.75" customHeight="1" x14ac:dyDescent="0.2">
      <c r="A1" s="1" t="s">
        <v>39</v>
      </c>
      <c r="B1" s="1" t="s">
        <v>4</v>
      </c>
      <c r="C1" s="1" t="s">
        <v>40</v>
      </c>
    </row>
    <row r="2" spans="1:3" ht="15.75" customHeight="1" x14ac:dyDescent="0.2">
      <c r="A2" t="s">
        <v>41</v>
      </c>
      <c r="B2" t="s">
        <v>41</v>
      </c>
      <c r="C2" s="11" t="s">
        <v>41</v>
      </c>
    </row>
    <row r="3" spans="1:3" ht="15.75" customHeight="1" x14ac:dyDescent="0.2">
      <c r="A3" t="s">
        <v>42</v>
      </c>
      <c r="B3" t="s">
        <v>43</v>
      </c>
      <c r="C3" s="11" t="s">
        <v>70</v>
      </c>
    </row>
    <row r="4" spans="1:3" ht="15.75" customHeight="1" x14ac:dyDescent="0.2">
      <c r="A4" t="s">
        <v>44</v>
      </c>
      <c r="B4" t="s">
        <v>45</v>
      </c>
      <c r="C4" s="11" t="s">
        <v>71</v>
      </c>
    </row>
    <row r="5" spans="1:3" ht="15.75" customHeight="1" x14ac:dyDescent="0.2">
      <c r="A5" t="s">
        <v>46</v>
      </c>
      <c r="B5" t="s">
        <v>47</v>
      </c>
      <c r="C5" s="11" t="s">
        <v>72</v>
      </c>
    </row>
    <row r="6" spans="1:3" ht="15.75" customHeight="1" x14ac:dyDescent="0.2">
      <c r="A6" t="s">
        <v>48</v>
      </c>
      <c r="B6" t="s">
        <v>49</v>
      </c>
      <c r="C6" s="11" t="s">
        <v>73</v>
      </c>
    </row>
    <row r="7" spans="1:3" ht="15.75" customHeight="1" x14ac:dyDescent="0.2">
      <c r="A7" t="s">
        <v>50</v>
      </c>
      <c r="B7" t="s">
        <v>51</v>
      </c>
      <c r="C7" s="11" t="s">
        <v>74</v>
      </c>
    </row>
    <row r="8" spans="1:3" ht="15.75" customHeight="1" x14ac:dyDescent="0.2">
      <c r="A8" t="s">
        <v>52</v>
      </c>
      <c r="B8" t="s">
        <v>53</v>
      </c>
      <c r="C8" s="11" t="s">
        <v>75</v>
      </c>
    </row>
    <row r="9" spans="1:3" ht="15.75" customHeight="1" x14ac:dyDescent="0.2">
      <c r="A9" t="s">
        <v>54</v>
      </c>
      <c r="B9" s="11" t="s">
        <v>55</v>
      </c>
      <c r="C9" s="11" t="s">
        <v>76</v>
      </c>
    </row>
    <row r="10" spans="1:3" ht="15.75" customHeight="1" x14ac:dyDescent="0.2">
      <c r="B10" s="11" t="s">
        <v>56</v>
      </c>
      <c r="C10" s="11" t="s">
        <v>77</v>
      </c>
    </row>
    <row r="11" spans="1:3" ht="15.75" customHeight="1" x14ac:dyDescent="0.2">
      <c r="B11" s="11" t="s">
        <v>57</v>
      </c>
      <c r="C11" s="11" t="s">
        <v>78</v>
      </c>
    </row>
    <row r="12" spans="1:3" ht="15.75" customHeight="1" x14ac:dyDescent="0.2">
      <c r="B12" s="11" t="s">
        <v>58</v>
      </c>
      <c r="C12" s="11"/>
    </row>
    <row r="13" spans="1:3" ht="15.75" customHeight="1" x14ac:dyDescent="0.2">
      <c r="B13" s="11" t="s">
        <v>59</v>
      </c>
      <c r="C13" s="11"/>
    </row>
    <row r="14" spans="1:3" ht="15.75" customHeight="1" x14ac:dyDescent="0.2">
      <c r="B14" s="11" t="s">
        <v>44</v>
      </c>
    </row>
    <row r="15" spans="1:3" ht="15.75" customHeight="1" x14ac:dyDescent="0.2">
      <c r="B15" s="11" t="s">
        <v>60</v>
      </c>
    </row>
    <row r="16" spans="1:3" ht="15.75" customHeight="1" x14ac:dyDescent="0.2">
      <c r="B16" s="11" t="s">
        <v>61</v>
      </c>
    </row>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774534DFD90D84BAE872B1C9F4EDB65" ma:contentTypeVersion="6" ma:contentTypeDescription="Create a new document." ma:contentTypeScope="" ma:versionID="79dc2284ab5b286034ae087f1551674b">
  <xsd:schema xmlns:xsd="http://www.w3.org/2001/XMLSchema" xmlns:xs="http://www.w3.org/2001/XMLSchema" xmlns:p="http://schemas.microsoft.com/office/2006/metadata/properties" xmlns:ns2="b63dac9b-06cb-4194-a0fb-42e13cf56cf1" xmlns:ns3="1835dc84-43aa-4531-92f6-c335a7e7c84d" targetNamespace="http://schemas.microsoft.com/office/2006/metadata/properties" ma:root="true" ma:fieldsID="6090df30ff6260ce93c6cbf924720553" ns2:_="" ns3:_="">
    <xsd:import namespace="b63dac9b-06cb-4194-a0fb-42e13cf56cf1"/>
    <xsd:import namespace="1835dc84-43aa-4531-92f6-c335a7e7c84d"/>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3dac9b-06cb-4194-a0fb-42e13cf56cf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835dc84-43aa-4531-92f6-c335a7e7c84d"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7A64A65-7DA4-4AE1-9847-B817073E4705}">
  <ds:schemaRefs>
    <ds:schemaRef ds:uri="http://schemas.microsoft.com/sharepoint/v3/contenttype/forms"/>
  </ds:schemaRefs>
</ds:datastoreItem>
</file>

<file path=customXml/itemProps2.xml><?xml version="1.0" encoding="utf-8"?>
<ds:datastoreItem xmlns:ds="http://schemas.openxmlformats.org/officeDocument/2006/customXml" ds:itemID="{320CF63A-30C9-4A8C-8DF9-EA62B8EC1A62}">
  <ds:schemaRefs>
    <ds:schemaRef ds:uri="http://schemas.microsoft.com/office/2006/metadata/properties"/>
    <ds:schemaRef ds:uri="http://schemas.microsoft.com/office/2006/documentManagement/types"/>
    <ds:schemaRef ds:uri="http://www.w3.org/XML/1998/namespace"/>
    <ds:schemaRef ds:uri="http://purl.org/dc/elements/1.1/"/>
    <ds:schemaRef ds:uri="http://schemas.microsoft.com/office/infopath/2007/PartnerControls"/>
    <ds:schemaRef ds:uri="b63dac9b-06cb-4194-a0fb-42e13cf56cf1"/>
    <ds:schemaRef ds:uri="1835dc84-43aa-4531-92f6-c335a7e7c84d"/>
    <ds:schemaRef ds:uri="http://schemas.openxmlformats.org/package/2006/metadata/core-properties"/>
    <ds:schemaRef ds:uri="http://purl.org/dc/dcmitype/"/>
    <ds:schemaRef ds:uri="http://purl.org/dc/terms/"/>
  </ds:schemaRefs>
</ds:datastoreItem>
</file>

<file path=customXml/itemProps3.xml><?xml version="1.0" encoding="utf-8"?>
<ds:datastoreItem xmlns:ds="http://schemas.openxmlformats.org/officeDocument/2006/customXml" ds:itemID="{1790894C-511E-4B06-AE1C-FB44D7A96C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3dac9b-06cb-4194-a0fb-42e13cf56cf1"/>
    <ds:schemaRef ds:uri="1835dc84-43aa-4531-92f6-c335a7e7c84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Worklog_Tasks&amp;Times</vt:lpstr>
      <vt:lpstr>Overview</vt:lpstr>
      <vt:lpstr>Drop-downs</vt:lpstr>
      <vt:lpstr>'Worklog_Tasks&amp;Times'!Print_Area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Buckens, Myrthe</dc:creator>
  <cp:keywords/>
  <dc:description/>
  <cp:lastModifiedBy>Vladi Stoimenov</cp:lastModifiedBy>
  <cp:revision/>
  <dcterms:created xsi:type="dcterms:W3CDTF">2020-05-11T09:26:10Z</dcterms:created>
  <dcterms:modified xsi:type="dcterms:W3CDTF">2026-01-23T14:25:31Z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0x0101004774534DFD90D84BAE872B1C9F4EDB65</vt:lpwstr>
  </property>
</Properties>
</file>